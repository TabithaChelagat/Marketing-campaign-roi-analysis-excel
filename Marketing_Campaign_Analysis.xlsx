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 THINKPAD L530\Downloads\"/>
    </mc:Choice>
  </mc:AlternateContent>
  <xr:revisionPtr revIDLastSave="0" documentId="8_{1E3A3529-E42F-48A1-90A3-0A5A52D34730}" xr6:coauthVersionLast="47" xr6:coauthVersionMax="47" xr10:uidLastSave="{00000000-0000-0000-0000-000000000000}"/>
  <bookViews>
    <workbookView xWindow="-120" yWindow="-120" windowWidth="20730" windowHeight="11310" activeTab="2" xr2:uid="{E6072F99-0B7A-4FAB-9C09-7CCB08EEF043}"/>
  </bookViews>
  <sheets>
    <sheet name="campaign_data" sheetId="2" r:id="rId1"/>
    <sheet name="Analysis" sheetId="1" r:id="rId2"/>
    <sheet name="Dashboard" sheetId="3" r:id="rId3"/>
  </sheets>
  <definedNames>
    <definedName name="_xlchart.v2.0" hidden="1">Analysis!$A$87:$D$87</definedName>
    <definedName name="_xlchart.v2.1" hidden="1">Analysis!$A$88:$D$88</definedName>
    <definedName name="_xlchart.v2.2" hidden="1">Analysis!$A$87:$D$87</definedName>
    <definedName name="_xlchart.v2.3" hidden="1">Analysis!$A$88:$D$88</definedName>
    <definedName name="_xlchart.v2.4" hidden="1">Analysis!$A$87:$D$87</definedName>
    <definedName name="_xlchart.v2.5" hidden="1">Analysis!$A$88:$D$88</definedName>
    <definedName name="ExternalData_1" localSheetId="0" hidden="1">'campaign_data'!$A$1:$K$53</definedName>
    <definedName name="Slicer_Channel">#N/A</definedName>
    <definedName name="Slicer_Region">#N/A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3" l="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J3" i="3"/>
  <c r="D3" i="3"/>
  <c r="B3" i="3"/>
  <c r="L3" i="3" l="1"/>
  <c r="H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DCB8DF-DE25-4CE6-A490-E93642207A77}" keepAlive="1" name="Query - campaign_data" description="Connection to the 'campaign_data' query in the workbook." type="5" refreshedVersion="8" background="1" saveData="1">
    <dbPr connection="Provider=Microsoft.Mashup.OleDb.1;Data Source=$Workbook$;Location=campaign_data;Extended Properties=&quot;&quot;" command="SELECT * FROM [campaign_data]"/>
  </connection>
</connections>
</file>

<file path=xl/sharedStrings.xml><?xml version="1.0" encoding="utf-8"?>
<sst xmlns="http://schemas.openxmlformats.org/spreadsheetml/2006/main" count="269" uniqueCount="122">
  <si>
    <t>Campaign Name</t>
  </si>
  <si>
    <t>Channel</t>
  </si>
  <si>
    <t>Region</t>
  </si>
  <si>
    <t>Start Date</t>
  </si>
  <si>
    <t>End Date</t>
  </si>
  <si>
    <t>Spend</t>
  </si>
  <si>
    <t>Impressions</t>
  </si>
  <si>
    <t>Clicks</t>
  </si>
  <si>
    <t>Leads</t>
  </si>
  <si>
    <t>Conversions</t>
  </si>
  <si>
    <t>Revenue</t>
  </si>
  <si>
    <t>Q1 Email Blast</t>
  </si>
  <si>
    <t>Email</t>
  </si>
  <si>
    <t>North America</t>
  </si>
  <si>
    <t>Spring Social Push</t>
  </si>
  <si>
    <t>Social</t>
  </si>
  <si>
    <t>Europe</t>
  </si>
  <si>
    <t>Google Ads - Brand</t>
  </si>
  <si>
    <t>Paid Ads</t>
  </si>
  <si>
    <t>Asia Pacific</t>
  </si>
  <si>
    <t>Facebook Retargeting</t>
  </si>
  <si>
    <t>Latin America</t>
  </si>
  <si>
    <t>LinkedIn B2B Campaign</t>
  </si>
  <si>
    <t>Instagram Influencer</t>
  </si>
  <si>
    <t>Email Newsletter</t>
  </si>
  <si>
    <t>YouTube Pre-roll</t>
  </si>
  <si>
    <t>Twitter Engagement</t>
  </si>
  <si>
    <t>Google Ads - Product</t>
  </si>
  <si>
    <t>Email Promo</t>
  </si>
  <si>
    <t>TikTok Brand Awareness</t>
  </si>
  <si>
    <t>Referral Program</t>
  </si>
  <si>
    <t>Referral</t>
  </si>
  <si>
    <t>Affiliate Marketing</t>
  </si>
  <si>
    <t>Display Ads Network</t>
  </si>
  <si>
    <t>Email Welcome Series</t>
  </si>
  <si>
    <t>Facebook Lead Gen</t>
  </si>
  <si>
    <t>LinkedIn Sponsored</t>
  </si>
  <si>
    <t>Instagram Stories</t>
  </si>
  <si>
    <t>Google Shopping Ads</t>
  </si>
  <si>
    <t>Email Cart Abandonment</t>
  </si>
  <si>
    <t>Snapchat Ads</t>
  </si>
  <si>
    <t>Pinterest Promoted</t>
  </si>
  <si>
    <t>Reddit Sponsored</t>
  </si>
  <si>
    <t>Q2 Email Campaign</t>
  </si>
  <si>
    <t>Summer Sale Social</t>
  </si>
  <si>
    <t>Google Ads - Competitor</t>
  </si>
  <si>
    <t>Facebook Lookalike</t>
  </si>
  <si>
    <t>LinkedIn Content</t>
  </si>
  <si>
    <t>Instagram Reels</t>
  </si>
  <si>
    <t>Email Re-engagement</t>
  </si>
  <si>
    <t>YouTube Influencer</t>
  </si>
  <si>
    <t>Twitter Ads</t>
  </si>
  <si>
    <t>Google Display</t>
  </si>
  <si>
    <t>Email Product Launch</t>
  </si>
  <si>
    <t>TikTok Challenge</t>
  </si>
  <si>
    <t>Referral Bonus</t>
  </si>
  <si>
    <t>Affiliate Network</t>
  </si>
  <si>
    <t>Native Ads</t>
  </si>
  <si>
    <t>Email Loyalty Program</t>
  </si>
  <si>
    <t>Facebook Video Ads</t>
  </si>
  <si>
    <t>LinkedIn InMail</t>
  </si>
  <si>
    <t>Instagram Shopping</t>
  </si>
  <si>
    <t>Google Smart Campaign</t>
  </si>
  <si>
    <t>Email Birthday Series</t>
  </si>
  <si>
    <t>Snapchat Filter</t>
  </si>
  <si>
    <t>Pinterest Catalog</t>
  </si>
  <si>
    <t>Reddit Community</t>
  </si>
  <si>
    <t>Q3 Email Push</t>
  </si>
  <si>
    <t>Fall Campaign Social</t>
  </si>
  <si>
    <t>Google Ads - Local</t>
  </si>
  <si>
    <t>Facebook Engagement</t>
  </si>
  <si>
    <t>CTR (Click-Through Rate)</t>
  </si>
  <si>
    <t>LEAD CONVERSION RATE</t>
  </si>
  <si>
    <t>CONVERSION RATE</t>
  </si>
  <si>
    <t>CPL (Cost Per Lead)</t>
  </si>
  <si>
    <t>CPA (Cost Per Acquisition)</t>
  </si>
  <si>
    <t>ROI % (Return on Investment)</t>
  </si>
  <si>
    <t>Profit</t>
  </si>
  <si>
    <t>CHANNEL PERFORMANCE</t>
  </si>
  <si>
    <t>Row Labels</t>
  </si>
  <si>
    <t>Grand Total</t>
  </si>
  <si>
    <t>Sum of Revenue</t>
  </si>
  <si>
    <t>Sum of Spend</t>
  </si>
  <si>
    <t>Average of ROI % (Return on Investment)</t>
  </si>
  <si>
    <t>TOP CAMPAIGNS BY ROI</t>
  </si>
  <si>
    <t>Business Question:Which specific campaigns should we scale? Which should we kill?</t>
  </si>
  <si>
    <t>MARKETING CAMPAIGN DASHBOARD</t>
  </si>
  <si>
    <t>Cost Per Acquisition (CPA</t>
  </si>
  <si>
    <t>Total Spend</t>
  </si>
  <si>
    <t>Total Revenue</t>
  </si>
  <si>
    <t>Overall ROI</t>
  </si>
  <si>
    <t>Total Conversions</t>
  </si>
  <si>
    <t>STRATEGIC RECOMMENDATIONS:</t>
  </si>
  <si>
    <t>IMMEDIATE ACTIONS:</t>
  </si>
  <si>
    <t>IMMEDIATE ACTIONS</t>
  </si>
  <si>
    <r>
      <rPr>
        <b/>
        <sz val="14"/>
        <color rgb="FF0070C0"/>
        <rFont val="Calibri"/>
        <family val="2"/>
        <scheme val="minor"/>
      </rPr>
      <t>1.</t>
    </r>
    <r>
      <rPr>
        <sz val="14"/>
        <color theme="1"/>
        <rFont val="Calibri"/>
        <family val="2"/>
        <scheme val="minor"/>
      </rPr>
      <t xml:space="preserve"> Pivot Spend to High-Efficiency Channels: Reallocate 20–30% of the underperforming Paid Ads and Social budgets toward Referral (Affiliate) and Email campaigns to maximize overall profitability.</t>
    </r>
  </si>
  <si>
    <r>
      <rPr>
        <b/>
        <sz val="14"/>
        <color rgb="FF0070C0"/>
        <rFont val="Calibri"/>
        <family val="2"/>
        <scheme val="minor"/>
      </rPr>
      <t>4.</t>
    </r>
    <r>
      <rPr>
        <sz val="14"/>
        <color theme="1"/>
        <rFont val="Calibri"/>
        <family val="2"/>
        <scheme val="minor"/>
      </rPr>
      <t xml:space="preserve"> Audit Landing Page Relevance: For Paid Ads, conduct an audit of landing pages for "Google Ads - Local" to ensure alignment between ad copy and the user experience, as the high spend is currently not converting.</t>
    </r>
  </si>
  <si>
    <r>
      <rPr>
        <b/>
        <sz val="14"/>
        <color rgb="FF0070C0"/>
        <rFont val="Calibri"/>
        <family val="2"/>
        <scheme val="minor"/>
      </rPr>
      <t xml:space="preserve">3. </t>
    </r>
    <r>
      <rPr>
        <sz val="14"/>
        <color theme="1"/>
        <rFont val="Calibri"/>
        <family val="2"/>
        <scheme val="minor"/>
      </rPr>
      <t>Scale the "Europe" Model: Analyze the specific messaging and offers used in Europe to determine if they can be adapted for the Asia Pacific and Latin America markets to improve regional ROI.</t>
    </r>
  </si>
  <si>
    <r>
      <rPr>
        <b/>
        <sz val="14"/>
        <color rgb="FFFF0000"/>
        <rFont val="Calibri"/>
        <family val="2"/>
        <scheme val="minor"/>
      </rPr>
      <t xml:space="preserve">⚡ </t>
    </r>
    <r>
      <rPr>
        <sz val="14"/>
        <color theme="1"/>
        <rFont val="Calibri"/>
        <family val="2"/>
        <scheme val="minor"/>
      </rPr>
      <t>WEEK 1:</t>
    </r>
    <r>
      <rPr>
        <b/>
        <sz val="14"/>
        <color rgb="FFFF0000"/>
        <rFont val="Calibri"/>
        <family val="2"/>
        <scheme val="minor"/>
      </rPr>
      <t xml:space="preserve"> </t>
    </r>
    <r>
      <rPr>
        <sz val="14"/>
        <color theme="1"/>
        <rFont val="Calibri"/>
        <family val="2"/>
        <scheme val="minor"/>
      </rPr>
      <t>Pause &amp; Protect: Immediately pause the "Google Ads - Local" and "Instagram Shopping" campaigns. These are currently draining the budget with negative or near-zero returns.</t>
    </r>
  </si>
  <si>
    <r>
      <rPr>
        <b/>
        <sz val="14"/>
        <color rgb="FFFF0000"/>
        <rFont val="Calibri"/>
        <family val="2"/>
        <scheme val="minor"/>
      </rPr>
      <t xml:space="preserve">⚡ </t>
    </r>
    <r>
      <rPr>
        <sz val="14"/>
        <color theme="1"/>
        <rFont val="Calibri"/>
        <family val="2"/>
        <scheme val="minor"/>
      </rPr>
      <t>WEEK 2: Scale Winners: Increase the daily spend for the "Affiliate Network" and "Email Newsletter" campaigns by 15% to capitalize on their high efficiency.</t>
    </r>
  </si>
  <si>
    <r>
      <rPr>
        <b/>
        <sz val="14"/>
        <color rgb="FFFF0000"/>
        <rFont val="Calibri"/>
        <family val="2"/>
        <scheme val="minor"/>
      </rPr>
      <t xml:space="preserve">⚡ </t>
    </r>
    <r>
      <rPr>
        <sz val="14"/>
        <color theme="1"/>
        <rFont val="Calibri"/>
        <family val="2"/>
        <scheme val="minor"/>
      </rPr>
      <t>WEEK 3:</t>
    </r>
    <r>
      <rPr>
        <b/>
        <sz val="14"/>
        <color rgb="FFFF0000"/>
        <rFont val="Calibri"/>
        <family val="2"/>
        <scheme val="minor"/>
      </rPr>
      <t xml:space="preserve"> </t>
    </r>
    <r>
      <rPr>
        <sz val="14"/>
        <color theme="1"/>
        <rFont val="Calibri"/>
        <family val="2"/>
        <scheme val="minor"/>
      </rPr>
      <t>Funnel Audit: Conduct a technical and UX audit of the checkout/conversion process to identify why leads are failing to convert at the final stage.</t>
    </r>
  </si>
  <si>
    <r>
      <rPr>
        <b/>
        <sz val="14"/>
        <color rgb="FFFF0000"/>
        <rFont val="Calibri"/>
        <family val="2"/>
        <scheme val="minor"/>
      </rPr>
      <t xml:space="preserve">⚡ </t>
    </r>
    <r>
      <rPr>
        <sz val="14"/>
        <color theme="1"/>
        <rFont val="Calibri"/>
        <family val="2"/>
        <scheme val="minor"/>
      </rPr>
      <t>WEEK 4:</t>
    </r>
    <r>
      <rPr>
        <b/>
        <sz val="14"/>
        <color rgb="FFFF0000"/>
        <rFont val="Calibri"/>
        <family val="2"/>
        <scheme val="minor"/>
      </rPr>
      <t xml:space="preserve"> </t>
    </r>
    <r>
      <rPr>
        <sz val="14"/>
        <color theme="1"/>
        <rFont val="Calibri"/>
        <family val="2"/>
        <scheme val="minor"/>
      </rPr>
      <t>Regional Pilot: Launch a "Best of Europe" creative test in the Latin America region to see if proven European assets can boost the lower regional performance.</t>
    </r>
  </si>
  <si>
    <r>
      <rPr>
        <b/>
        <sz val="14"/>
        <color rgb="FF00B050"/>
        <rFont val="Calibri"/>
        <family val="2"/>
        <scheme val="minor"/>
      </rPr>
      <t xml:space="preserve">1. </t>
    </r>
    <r>
      <rPr>
        <b/>
        <sz val="14"/>
        <color theme="1"/>
        <rFont val="Calibri"/>
        <family val="2"/>
        <scheme val="minor"/>
      </rPr>
      <t>Referral &amp; Email are ROI Powerhouses:</t>
    </r>
    <r>
      <rPr>
        <sz val="14"/>
        <color theme="1"/>
        <rFont val="Calibri"/>
        <family val="2"/>
        <scheme val="minor"/>
      </rPr>
      <t xml:space="preserve"> </t>
    </r>
    <r>
      <rPr>
        <b/>
        <sz val="14"/>
        <color theme="1"/>
        <rFont val="Calibri"/>
        <family val="2"/>
        <scheme val="minor"/>
      </rPr>
      <t>Referral</t>
    </r>
    <r>
      <rPr>
        <sz val="14"/>
        <color theme="1"/>
        <rFont val="Calibri"/>
        <family val="2"/>
        <scheme val="minor"/>
      </rPr>
      <t xml:space="preserve"> (Avg. 31.0x ROI) and </t>
    </r>
    <r>
      <rPr>
        <b/>
        <sz val="14"/>
        <color theme="1"/>
        <rFont val="Calibri"/>
        <family val="2"/>
        <scheme val="minor"/>
      </rPr>
      <t>Email</t>
    </r>
    <r>
      <rPr>
        <sz val="14"/>
        <color theme="1"/>
        <rFont val="Calibri"/>
        <family val="2"/>
        <scheme val="minor"/>
      </rPr>
      <t xml:space="preserve"> (Avg. 11.4x ROI) are the most efficient channels. The "Affiliate Network" campaign is the standout performer with a massive </t>
    </r>
    <r>
      <rPr>
        <b/>
        <sz val="14"/>
        <color theme="1"/>
        <rFont val="Calibri"/>
        <family val="2"/>
        <scheme val="minor"/>
      </rPr>
      <t>61.3x ROI</t>
    </r>
    <r>
      <rPr>
        <sz val="14"/>
        <color theme="1"/>
        <rFont val="Calibri"/>
        <family val="2"/>
        <scheme val="minor"/>
      </rPr>
      <t>.</t>
    </r>
  </si>
  <si>
    <r>
      <rPr>
        <b/>
        <sz val="14"/>
        <color rgb="FF00B050"/>
        <rFont val="Calibri"/>
        <family val="2"/>
        <scheme val="minor"/>
      </rPr>
      <t xml:space="preserve">3. </t>
    </r>
    <r>
      <rPr>
        <b/>
        <sz val="14"/>
        <color theme="1"/>
        <rFont val="Calibri"/>
        <family val="2"/>
        <scheme val="minor"/>
      </rPr>
      <t>Critical Efficiency Gap in Paid Ads:</t>
    </r>
    <r>
      <rPr>
        <sz val="14"/>
        <color theme="1"/>
        <rFont val="Calibri"/>
        <family val="2"/>
        <scheme val="minor"/>
      </rPr>
      <t xml:space="preserve"> Paid Ads is the lowest-performing channel (1.85x Avg. ROI). Specifically, "</t>
    </r>
    <r>
      <rPr>
        <b/>
        <sz val="14"/>
        <color theme="1"/>
        <rFont val="Calibri"/>
        <family val="2"/>
        <scheme val="minor"/>
      </rPr>
      <t>Google Ads - Local</t>
    </r>
    <r>
      <rPr>
        <sz val="14"/>
        <color theme="1"/>
        <rFont val="Calibri"/>
        <family val="2"/>
        <scheme val="minor"/>
      </rPr>
      <t xml:space="preserve">" is the worst-performing campaign across the board with a </t>
    </r>
    <r>
      <rPr>
        <b/>
        <sz val="14"/>
        <color theme="1"/>
        <rFont val="Calibri"/>
        <family val="2"/>
        <scheme val="minor"/>
      </rPr>
      <t>-92% ROI</t>
    </r>
    <r>
      <rPr>
        <sz val="14"/>
        <color theme="1"/>
        <rFont val="Calibri"/>
        <family val="2"/>
        <scheme val="minor"/>
      </rPr>
      <t>.</t>
    </r>
  </si>
  <si>
    <r>
      <rPr>
        <b/>
        <sz val="14"/>
        <color rgb="FF00B050"/>
        <rFont val="Calibri"/>
        <family val="2"/>
        <scheme val="minor"/>
      </rPr>
      <t>4.</t>
    </r>
    <r>
      <rPr>
        <b/>
        <sz val="14"/>
        <color theme="1"/>
        <rFont val="Calibri"/>
        <family val="2"/>
        <scheme val="minor"/>
      </rPr>
      <t xml:space="preserve"> Major Funnel Bottleneck:</t>
    </r>
    <r>
      <rPr>
        <sz val="14"/>
        <color theme="1"/>
        <rFont val="Calibri"/>
        <family val="2"/>
        <scheme val="minor"/>
      </rPr>
      <t xml:space="preserve"> There is a significant </t>
    </r>
    <r>
      <rPr>
        <b/>
        <sz val="14"/>
        <color theme="1"/>
        <rFont val="Calibri"/>
        <family val="2"/>
        <scheme val="minor"/>
      </rPr>
      <t>90% drop-off</t>
    </r>
    <r>
      <rPr>
        <sz val="14"/>
        <color theme="1"/>
        <rFont val="Calibri"/>
        <family val="2"/>
        <scheme val="minor"/>
      </rPr>
      <t xml:space="preserve"> from Leads to Conversions. While the team is successful at generating leads (23,825), the conversion to actual sales (2,264) is a critical friction point.</t>
    </r>
  </si>
  <si>
    <r>
      <rPr>
        <b/>
        <sz val="14"/>
        <color rgb="FF00B050"/>
        <rFont val="Calibri"/>
        <family val="2"/>
        <scheme val="minor"/>
      </rPr>
      <t xml:space="preserve">5. </t>
    </r>
    <r>
      <rPr>
        <b/>
        <sz val="14"/>
        <color theme="1"/>
        <rFont val="Calibri"/>
        <family val="2"/>
        <scheme val="minor"/>
      </rPr>
      <t>Regional Performance Variance:</t>
    </r>
    <r>
      <rPr>
        <sz val="14"/>
        <color theme="1"/>
        <rFont val="Calibri"/>
        <family val="2"/>
        <scheme val="minor"/>
      </rPr>
      <t xml:space="preserve"> </t>
    </r>
    <r>
      <rPr>
        <b/>
        <sz val="14"/>
        <color theme="1"/>
        <rFont val="Calibri"/>
        <family val="2"/>
        <scheme val="minor"/>
      </rPr>
      <t>Europe</t>
    </r>
    <r>
      <rPr>
        <sz val="14"/>
        <color theme="1"/>
        <rFont val="Calibri"/>
        <family val="2"/>
        <scheme val="minor"/>
      </rPr>
      <t xml:space="preserve"> is the most efficient region (Avg. 10.2x ROI), significantly outperforming </t>
    </r>
    <r>
      <rPr>
        <b/>
        <sz val="14"/>
        <color theme="1"/>
        <rFont val="Calibri"/>
        <family val="2"/>
        <scheme val="minor"/>
      </rPr>
      <t>Latin America</t>
    </r>
    <r>
      <rPr>
        <sz val="14"/>
        <color theme="1"/>
        <rFont val="Calibri"/>
        <family val="2"/>
        <scheme val="minor"/>
      </rPr>
      <t xml:space="preserve"> (4.5x), suggesting that current strategies are resonating better with European audiences.</t>
    </r>
  </si>
  <si>
    <r>
      <rPr>
        <b/>
        <sz val="14"/>
        <color rgb="FF00B050"/>
        <rFont val="Calibri"/>
        <family val="2"/>
        <scheme val="minor"/>
      </rPr>
      <t>2.</t>
    </r>
    <r>
      <rPr>
        <b/>
        <sz val="14"/>
        <color theme="1"/>
        <rFont val="Calibri"/>
        <family val="2"/>
        <scheme val="minor"/>
      </rPr>
      <t xml:space="preserve"> Social Drives Volume but Lacks Efficiency:</t>
    </r>
    <r>
      <rPr>
        <sz val="14"/>
        <color theme="1"/>
        <rFont val="Calibri"/>
        <family val="2"/>
        <scheme val="minor"/>
      </rPr>
      <t xml:space="preserve"> While Social generates the highest total revenue (</t>
    </r>
    <r>
      <rPr>
        <b/>
        <sz val="14"/>
        <color theme="1"/>
        <rFont val="Calibri"/>
        <family val="2"/>
        <scheme val="minor"/>
      </rPr>
      <t>$336,680</t>
    </r>
    <r>
      <rPr>
        <sz val="14"/>
        <color theme="1"/>
        <rFont val="Calibri"/>
        <family val="2"/>
        <scheme val="minor"/>
      </rPr>
      <t>), its average ROI (3.45x) is significantly lower than Email. Some campaigns, like "Pinterest Promoted," are currently yielding negative returns.</t>
    </r>
  </si>
  <si>
    <t>KEY FINDINGS FOR MARKETING DASHBOARD:</t>
  </si>
  <si>
    <t>Sum of Conversions</t>
  </si>
  <si>
    <t>Business Question: What region should we invest more in ?</t>
  </si>
  <si>
    <t>What are rhe Regionwise returns?</t>
  </si>
  <si>
    <t>Which channel should we invest more in a Region?</t>
  </si>
  <si>
    <t>Total Profit</t>
  </si>
  <si>
    <t>Bottom 5</t>
  </si>
  <si>
    <t>Sum of Impressions</t>
  </si>
  <si>
    <t>Sum of Clicks</t>
  </si>
  <si>
    <t>Sum of Leads</t>
  </si>
  <si>
    <t>What stage of the funnel are we losing customers/</t>
  </si>
  <si>
    <t>31.O4X</t>
  </si>
  <si>
    <t>Referral has the Highest ROI</t>
  </si>
  <si>
    <r>
      <rPr>
        <b/>
        <sz val="14"/>
        <color rgb="FF00B050"/>
        <rFont val="Calibri"/>
        <family val="2"/>
        <scheme val="minor"/>
      </rPr>
      <t>6.</t>
    </r>
    <r>
      <rPr>
        <sz val="14"/>
        <color theme="1"/>
        <rFont val="Calibri"/>
        <family val="2"/>
        <scheme val="minor"/>
      </rPr>
      <t xml:space="preserve"> Low-cost "Trust" channels like Referral and Email are outperforming Paid Ads in every region, headlined by the European </t>
    </r>
    <r>
      <rPr>
        <b/>
        <sz val="14"/>
        <color theme="1"/>
        <rFont val="Arial"/>
        <family val="2"/>
      </rPr>
      <t>Affiliate Network</t>
    </r>
    <r>
      <rPr>
        <sz val="14"/>
        <color theme="1"/>
        <rFont val="Calibri"/>
        <family val="2"/>
        <scheme val="minor"/>
      </rPr>
      <t xml:space="preserve"> which delivers a massive </t>
    </r>
    <r>
      <rPr>
        <sz val="14"/>
        <color theme="1"/>
        <rFont val="Arial"/>
        <family val="2"/>
      </rPr>
      <t>$61\times$</t>
    </r>
    <r>
      <rPr>
        <sz val="14"/>
        <color theme="1"/>
        <rFont val="Calibri"/>
        <family val="2"/>
        <scheme val="minor"/>
      </rPr>
      <t xml:space="preserve"> return on investment.</t>
    </r>
  </si>
  <si>
    <r>
      <t>2.</t>
    </r>
    <r>
      <rPr>
        <b/>
        <sz val="14"/>
        <color theme="2" tint="-0.749992370372631"/>
        <rFont val="Calibri"/>
        <family val="2"/>
        <scheme val="minor"/>
      </rPr>
      <t>Scale the Affiliate Model: The "Affiliate Network" campaign is a standout success with a 61.3% ROI. You should investigate scaling this partnership or replicating the model with new partners.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</si>
</sst>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0" x14ac:knownFonts="1">
    <font>
      <sz val="11"/>
      <color theme="1"/>
      <name val="Calibri"/>
      <family val="2"/>
      <scheme val="minor"/>
    </font>
    <font>
      <b/>
      <sz val="11"/>
      <color theme="1"/>
      <name val="Calibri"/>
      <family val="2"/>
      <scheme val="minor"/>
    </font>
    <font>
      <b/>
      <sz val="11"/>
      <color rgb="FF595959"/>
      <name val="Calibri"/>
      <family val="2"/>
      <scheme val="minor"/>
    </font>
    <font>
      <sz val="11"/>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b/>
      <sz val="14"/>
      <color rgb="FF0070C0"/>
      <name val="Calibri"/>
      <family val="2"/>
      <scheme val="minor"/>
    </font>
    <font>
      <b/>
      <sz val="14"/>
      <color rgb="FF00B050"/>
      <name val="Calibri"/>
      <family val="2"/>
      <scheme val="minor"/>
    </font>
    <font>
      <b/>
      <sz val="11"/>
      <color theme="1" tint="4.9989318521683403E-2"/>
      <name val="Calibri"/>
      <family val="2"/>
      <scheme val="minor"/>
    </font>
    <font>
      <b/>
      <sz val="26"/>
      <color rgb="FFFF0000"/>
      <name val="Calibri"/>
      <family val="2"/>
      <scheme val="minor"/>
    </font>
    <font>
      <b/>
      <sz val="26"/>
      <color rgb="FF00B050"/>
      <name val="Calibri"/>
      <family val="2"/>
      <scheme val="minor"/>
    </font>
    <font>
      <sz val="11"/>
      <color theme="3" tint="-0.499984740745262"/>
      <name val="Calibri"/>
      <family val="2"/>
      <scheme val="minor"/>
    </font>
    <font>
      <b/>
      <sz val="16"/>
      <color theme="3" tint="-0.499984740745262"/>
      <name val="Calibri"/>
      <family val="2"/>
      <scheme val="minor"/>
    </font>
    <font>
      <b/>
      <sz val="11"/>
      <color theme="3" tint="-0.499984740745262"/>
      <name val="Calibri"/>
      <family val="2"/>
      <scheme val="minor"/>
    </font>
    <font>
      <b/>
      <sz val="20"/>
      <color theme="7"/>
      <name val="Calibri"/>
      <family val="2"/>
      <scheme val="minor"/>
    </font>
    <font>
      <b/>
      <sz val="14"/>
      <color theme="1"/>
      <name val="Arial"/>
      <family val="2"/>
    </font>
    <font>
      <sz val="14"/>
      <color theme="1"/>
      <name val="Arial"/>
      <family val="2"/>
    </font>
    <font>
      <b/>
      <sz val="14"/>
      <color theme="2" tint="-0.749992370372631"/>
      <name val="Calibri"/>
      <family val="2"/>
      <scheme val="minor"/>
    </font>
  </fonts>
  <fills count="9">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2"/>
        <bgColor indexed="64"/>
      </patternFill>
    </fill>
  </fills>
  <borders count="8">
    <border>
      <left/>
      <right/>
      <top/>
      <bottom/>
      <diagonal/>
    </border>
    <border>
      <left style="thin">
        <color theme="9" tint="0.39997558519241921"/>
      </left>
      <right/>
      <top style="thin">
        <color theme="9" tint="0.39997558519241921"/>
      </top>
      <bottom style="thin">
        <color theme="9" tint="0.39997558519241921"/>
      </bottom>
      <diagonal/>
    </border>
    <border>
      <left style="thick">
        <color rgb="FF00B050"/>
      </left>
      <right style="thin">
        <color theme="0" tint="-0.24994659260841701"/>
      </right>
      <top style="thin">
        <color theme="0" tint="-0.24994659260841701"/>
      </top>
      <bottom style="thin">
        <color theme="0" tint="-0.24994659260841701"/>
      </bottom>
      <diagonal/>
    </border>
    <border>
      <left style="thick">
        <color rgb="FFFF0000"/>
      </left>
      <right style="thin">
        <color theme="0" tint="-0.24994659260841701"/>
      </right>
      <top style="thin">
        <color theme="0" tint="-0.24994659260841701"/>
      </top>
      <bottom style="thin">
        <color theme="0" tint="-0.24994659260841701"/>
      </bottom>
      <diagonal/>
    </border>
    <border>
      <left style="thick">
        <color rgb="FFFF0000"/>
      </left>
      <right style="thin">
        <color theme="0" tint="-0.24994659260841701"/>
      </right>
      <top style="thin">
        <color theme="0" tint="-0.24994659260841701"/>
      </top>
      <bottom/>
      <diagonal/>
    </border>
    <border>
      <left style="thick">
        <color rgb="FFFF0000"/>
      </left>
      <right style="thin">
        <color theme="0" tint="-0.24994659260841701"/>
      </right>
      <top/>
      <bottom style="thin">
        <color theme="0" tint="-0.24994659260841701"/>
      </bottom>
      <diagonal/>
    </border>
    <border>
      <left style="thick">
        <color rgb="FF00B050"/>
      </left>
      <right style="thin">
        <color theme="0" tint="-0.24994659260841701"/>
      </right>
      <top style="thin">
        <color theme="0" tint="-0.24994659260841701"/>
      </top>
      <bottom/>
      <diagonal/>
    </border>
    <border>
      <left style="thick">
        <color rgb="FF00B050"/>
      </left>
      <right style="thin">
        <color theme="0" tint="-0.24994659260841701"/>
      </right>
      <top/>
      <bottom style="thin">
        <color theme="0" tint="-0.24994659260841701"/>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43">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3" fontId="0" fillId="0" borderId="0" xfId="0" applyNumberFormat="1"/>
    <xf numFmtId="0" fontId="2" fillId="0" borderId="0" xfId="0" applyFont="1" applyAlignment="1">
      <alignment horizontal="center" vertical="center" readingOrder="1"/>
    </xf>
    <xf numFmtId="0" fontId="0" fillId="0" borderId="1" xfId="0" applyBorder="1"/>
    <xf numFmtId="0" fontId="0" fillId="3" borderId="0" xfId="0" applyFill="1"/>
    <xf numFmtId="0" fontId="0" fillId="5" borderId="0" xfId="0" applyFill="1" applyAlignment="1">
      <alignment vertical="center"/>
    </xf>
    <xf numFmtId="9" fontId="0" fillId="0" borderId="0" xfId="1" applyFont="1"/>
    <xf numFmtId="0" fontId="0" fillId="6" borderId="0" xfId="0" applyFill="1"/>
    <xf numFmtId="0" fontId="6" fillId="6" borderId="0" xfId="0" applyFont="1" applyFill="1"/>
    <xf numFmtId="0" fontId="5" fillId="6" borderId="0" xfId="0" applyFont="1" applyFill="1"/>
    <xf numFmtId="0" fontId="0" fillId="4" borderId="0" xfId="0" applyFill="1"/>
    <xf numFmtId="0" fontId="0" fillId="7" borderId="0" xfId="0" applyFill="1" applyAlignment="1">
      <alignment vertical="center"/>
    </xf>
    <xf numFmtId="49" fontId="6" fillId="6" borderId="0" xfId="0" applyNumberFormat="1" applyFont="1" applyFill="1"/>
    <xf numFmtId="0" fontId="0" fillId="0" borderId="0" xfId="0" applyAlignment="1">
      <alignment horizontal="left" indent="1"/>
    </xf>
    <xf numFmtId="0" fontId="10" fillId="0" borderId="0" xfId="0" applyFont="1" applyAlignment="1">
      <alignment horizontal="left" vertical="center" readingOrder="1"/>
    </xf>
    <xf numFmtId="0" fontId="4" fillId="4" borderId="0" xfId="0" applyFont="1" applyFill="1" applyAlignment="1">
      <alignment horizontal="left" vertical="center"/>
    </xf>
    <xf numFmtId="0" fontId="4" fillId="7" borderId="0" xfId="0" applyFont="1" applyFill="1" applyAlignment="1">
      <alignment horizontal="left" vertical="center"/>
    </xf>
    <xf numFmtId="0" fontId="4" fillId="5" borderId="0" xfId="0" applyFont="1" applyFill="1" applyAlignment="1">
      <alignment horizontal="left" vertical="center"/>
    </xf>
    <xf numFmtId="0" fontId="0" fillId="0" borderId="0" xfId="0" applyNumberFormat="1"/>
    <xf numFmtId="0" fontId="13" fillId="2" borderId="0" xfId="0" applyFont="1" applyFill="1"/>
    <xf numFmtId="0" fontId="15" fillId="2" borderId="0" xfId="0" applyFont="1" applyFill="1"/>
    <xf numFmtId="0" fontId="14" fillId="2" borderId="0" xfId="0" applyFont="1" applyFill="1" applyBorder="1" applyAlignment="1">
      <alignment horizontal="center"/>
    </xf>
    <xf numFmtId="0" fontId="14" fillId="2" borderId="0" xfId="0" applyFont="1" applyFill="1" applyAlignment="1">
      <alignment horizontal="center"/>
    </xf>
    <xf numFmtId="0" fontId="13" fillId="2" borderId="0" xfId="0" applyFont="1" applyFill="1" applyAlignment="1">
      <alignment horizontal="center"/>
    </xf>
    <xf numFmtId="0" fontId="14" fillId="2" borderId="0" xfId="0" applyFont="1" applyFill="1" applyBorder="1" applyAlignment="1">
      <alignment horizontal="left"/>
    </xf>
    <xf numFmtId="10" fontId="13" fillId="2" borderId="0" xfId="0" applyNumberFormat="1" applyFont="1" applyFill="1"/>
    <xf numFmtId="0" fontId="11" fillId="8" borderId="5" xfId="0" applyFont="1" applyFill="1" applyBorder="1" applyAlignment="1">
      <alignment horizontal="left"/>
    </xf>
    <xf numFmtId="0" fontId="4" fillId="8" borderId="4" xfId="0" applyFont="1" applyFill="1" applyBorder="1"/>
    <xf numFmtId="0" fontId="12" fillId="8" borderId="2" xfId="0" applyFont="1" applyFill="1" applyBorder="1" applyAlignment="1">
      <alignment horizontal="left"/>
    </xf>
    <xf numFmtId="0" fontId="4" fillId="8" borderId="2" xfId="0" applyFont="1" applyFill="1" applyBorder="1"/>
    <xf numFmtId="0" fontId="4" fillId="8" borderId="6" xfId="0" applyFont="1" applyFill="1" applyBorder="1"/>
    <xf numFmtId="0" fontId="12" fillId="8" borderId="7" xfId="2" applyNumberFormat="1" applyFont="1" applyFill="1" applyBorder="1" applyAlignment="1">
      <alignment horizontal="left"/>
    </xf>
    <xf numFmtId="2" fontId="12" fillId="8" borderId="2" xfId="0" applyNumberFormat="1" applyFont="1" applyFill="1" applyBorder="1" applyAlignment="1">
      <alignment horizontal="left"/>
    </xf>
    <xf numFmtId="0" fontId="4" fillId="8" borderId="3" xfId="0" applyFont="1" applyFill="1" applyBorder="1" applyAlignment="1">
      <alignment horizontal="center"/>
    </xf>
    <xf numFmtId="2" fontId="11" fillId="8" borderId="3" xfId="0" applyNumberFormat="1" applyFont="1" applyFill="1" applyBorder="1" applyAlignment="1">
      <alignment horizontal="left"/>
    </xf>
    <xf numFmtId="0" fontId="16" fillId="2" borderId="0" xfId="0" applyFont="1" applyFill="1" applyAlignment="1">
      <alignment horizontal="center" vertical="center"/>
    </xf>
    <xf numFmtId="0" fontId="4" fillId="3" borderId="0" xfId="0" applyFont="1" applyFill="1" applyBorder="1" applyAlignment="1">
      <alignment horizontal="center"/>
    </xf>
    <xf numFmtId="0" fontId="12" fillId="3" borderId="0" xfId="0" applyFont="1" applyFill="1" applyBorder="1" applyAlignment="1">
      <alignment horizontal="center"/>
    </xf>
    <xf numFmtId="0" fontId="8" fillId="6" borderId="0" xfId="0" applyFont="1" applyFill="1"/>
  </cellXfs>
  <cellStyles count="3">
    <cellStyle name="Currency" xfId="2" builtinId="4"/>
    <cellStyle name="Normal" xfId="0" builtinId="0"/>
    <cellStyle name="Percent" xfId="1"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Channel</a:t>
            </a:r>
            <a:r>
              <a:rPr lang="en-US" b="1" baseline="0"/>
              <a:t> Perforance as per ROI</a:t>
            </a:r>
          </a:p>
        </c:rich>
      </c:tx>
      <c:layout>
        <c:manualLayout>
          <c:xMode val="edge"/>
          <c:yMode val="edge"/>
          <c:x val="0.33850678040244964"/>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Sum of Revenue</c:v>
                </c:pt>
              </c:strCache>
            </c:strRef>
          </c:tx>
          <c:spPr>
            <a:solidFill>
              <a:schemeClr val="accent1"/>
            </a:solidFill>
            <a:ln>
              <a:noFill/>
            </a:ln>
            <a:effectLst/>
          </c:spPr>
          <c:invertIfNegative val="0"/>
          <c:cat>
            <c:strRef>
              <c:f>Analysis!$A$5:$A$9</c:f>
              <c:strCache>
                <c:ptCount val="4"/>
                <c:pt idx="0">
                  <c:v>Referral</c:v>
                </c:pt>
                <c:pt idx="1">
                  <c:v>Paid Ads</c:v>
                </c:pt>
                <c:pt idx="2">
                  <c:v>Email</c:v>
                </c:pt>
                <c:pt idx="3">
                  <c:v>Social</c:v>
                </c:pt>
              </c:strCache>
            </c:strRef>
          </c:cat>
          <c:val>
            <c:numRef>
              <c:f>Analysis!$B$5:$B$9</c:f>
              <c:numCache>
                <c:formatCode>General</c:formatCode>
                <c:ptCount val="4"/>
                <c:pt idx="0">
                  <c:v>77281</c:v>
                </c:pt>
                <c:pt idx="1">
                  <c:v>156485</c:v>
                </c:pt>
                <c:pt idx="2">
                  <c:v>159506</c:v>
                </c:pt>
                <c:pt idx="3">
                  <c:v>336680</c:v>
                </c:pt>
              </c:numCache>
            </c:numRef>
          </c:val>
          <c:extLst>
            <c:ext xmlns:c16="http://schemas.microsoft.com/office/drawing/2014/chart" uri="{C3380CC4-5D6E-409C-BE32-E72D297353CC}">
              <c16:uniqueId val="{00000000-5046-4AE0-8BDB-0F736B69CD1E}"/>
            </c:ext>
          </c:extLst>
        </c:ser>
        <c:ser>
          <c:idx val="1"/>
          <c:order val="1"/>
          <c:tx>
            <c:strRef>
              <c:f>Analysis!$C$4</c:f>
              <c:strCache>
                <c:ptCount val="1"/>
                <c:pt idx="0">
                  <c:v>Sum of Spend</c:v>
                </c:pt>
              </c:strCache>
            </c:strRef>
          </c:tx>
          <c:spPr>
            <a:solidFill>
              <a:schemeClr val="accent2"/>
            </a:solidFill>
            <a:ln>
              <a:noFill/>
            </a:ln>
            <a:effectLst/>
          </c:spPr>
          <c:invertIfNegative val="0"/>
          <c:cat>
            <c:strRef>
              <c:f>Analysis!$A$5:$A$9</c:f>
              <c:strCache>
                <c:ptCount val="4"/>
                <c:pt idx="0">
                  <c:v>Referral</c:v>
                </c:pt>
                <c:pt idx="1">
                  <c:v>Paid Ads</c:v>
                </c:pt>
                <c:pt idx="2">
                  <c:v>Email</c:v>
                </c:pt>
                <c:pt idx="3">
                  <c:v>Social</c:v>
                </c:pt>
              </c:strCache>
            </c:strRef>
          </c:cat>
          <c:val>
            <c:numRef>
              <c:f>Analysis!$C$5:$C$9</c:f>
              <c:numCache>
                <c:formatCode>General</c:formatCode>
                <c:ptCount val="4"/>
                <c:pt idx="0">
                  <c:v>2783</c:v>
                </c:pt>
                <c:pt idx="1">
                  <c:v>75827</c:v>
                </c:pt>
                <c:pt idx="2">
                  <c:v>14814</c:v>
                </c:pt>
                <c:pt idx="3">
                  <c:v>82545</c:v>
                </c:pt>
              </c:numCache>
            </c:numRef>
          </c:val>
          <c:extLst>
            <c:ext xmlns:c16="http://schemas.microsoft.com/office/drawing/2014/chart" uri="{C3380CC4-5D6E-409C-BE32-E72D297353CC}">
              <c16:uniqueId val="{00000034-D499-4E42-92BE-7FCC785237AE}"/>
            </c:ext>
          </c:extLst>
        </c:ser>
        <c:dLbls>
          <c:showLegendKey val="0"/>
          <c:showVal val="0"/>
          <c:showCatName val="0"/>
          <c:showSerName val="0"/>
          <c:showPercent val="0"/>
          <c:showBubbleSize val="0"/>
        </c:dLbls>
        <c:gapWidth val="182"/>
        <c:axId val="690081856"/>
        <c:axId val="690078976"/>
      </c:barChart>
      <c:lineChart>
        <c:grouping val="standard"/>
        <c:varyColors val="0"/>
        <c:ser>
          <c:idx val="2"/>
          <c:order val="2"/>
          <c:tx>
            <c:strRef>
              <c:f>Analysis!$D$4</c:f>
              <c:strCache>
                <c:ptCount val="1"/>
                <c:pt idx="0">
                  <c:v>Average of ROI % (Return on Investment)</c:v>
                </c:pt>
              </c:strCache>
            </c:strRef>
          </c:tx>
          <c:spPr>
            <a:ln w="28575" cap="rnd">
              <a:solidFill>
                <a:schemeClr val="accent3"/>
              </a:solidFill>
              <a:round/>
            </a:ln>
            <a:effectLst/>
          </c:spPr>
          <c:marker>
            <c:symbol val="none"/>
          </c:marker>
          <c:cat>
            <c:strRef>
              <c:f>Analysis!$A$5:$A$9</c:f>
              <c:strCache>
                <c:ptCount val="4"/>
                <c:pt idx="0">
                  <c:v>Referral</c:v>
                </c:pt>
                <c:pt idx="1">
                  <c:v>Paid Ads</c:v>
                </c:pt>
                <c:pt idx="2">
                  <c:v>Email</c:v>
                </c:pt>
                <c:pt idx="3">
                  <c:v>Social</c:v>
                </c:pt>
              </c:strCache>
            </c:strRef>
          </c:cat>
          <c:val>
            <c:numRef>
              <c:f>Analysis!$D$5:$D$9</c:f>
              <c:numCache>
                <c:formatCode>General</c:formatCode>
                <c:ptCount val="4"/>
                <c:pt idx="0">
                  <c:v>31.039549323614679</c:v>
                </c:pt>
                <c:pt idx="1">
                  <c:v>1.8540678781107223</c:v>
                </c:pt>
                <c:pt idx="2">
                  <c:v>11.35041274451337</c:v>
                </c:pt>
                <c:pt idx="3">
                  <c:v>3.4484065512273294</c:v>
                </c:pt>
              </c:numCache>
            </c:numRef>
          </c:val>
          <c:smooth val="0"/>
          <c:extLst>
            <c:ext xmlns:c16="http://schemas.microsoft.com/office/drawing/2014/chart" uri="{C3380CC4-5D6E-409C-BE32-E72D297353CC}">
              <c16:uniqueId val="{00000036-D499-4E42-92BE-7FCC785237AE}"/>
            </c:ext>
          </c:extLst>
        </c:ser>
        <c:dLbls>
          <c:showLegendKey val="0"/>
          <c:showVal val="0"/>
          <c:showCatName val="0"/>
          <c:showSerName val="0"/>
          <c:showPercent val="0"/>
          <c:showBubbleSize val="0"/>
        </c:dLbls>
        <c:marker val="1"/>
        <c:smooth val="0"/>
        <c:axId val="1844034688"/>
        <c:axId val="1844034208"/>
      </c:lineChart>
      <c:catAx>
        <c:axId val="69008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78976"/>
        <c:crosses val="autoZero"/>
        <c:auto val="1"/>
        <c:lblAlgn val="ctr"/>
        <c:lblOffset val="100"/>
        <c:noMultiLvlLbl val="0"/>
      </c:catAx>
      <c:valAx>
        <c:axId val="69007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81856"/>
        <c:crosses val="autoZero"/>
        <c:crossBetween val="between"/>
        <c:majorUnit val="100000"/>
      </c:valAx>
      <c:valAx>
        <c:axId val="18440342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034688"/>
        <c:crosses val="max"/>
        <c:crossBetween val="between"/>
      </c:valAx>
      <c:catAx>
        <c:axId val="1844034688"/>
        <c:scaling>
          <c:orientation val="minMax"/>
        </c:scaling>
        <c:delete val="1"/>
        <c:axPos val="b"/>
        <c:numFmt formatCode="General" sourceLinked="1"/>
        <c:majorTickMark val="out"/>
        <c:minorTickMark val="none"/>
        <c:tickLblPos val="nextTo"/>
        <c:crossAx val="18440342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Campaigns by ROI</a:t>
            </a:r>
            <a:endParaRPr lang="en-US" b="1"/>
          </a:p>
        </c:rich>
      </c:tx>
      <c:layout>
        <c:manualLayout>
          <c:xMode val="edge"/>
          <c:yMode val="edge"/>
          <c:x val="0.4169823098170493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Analysis!$A$16:$A$21</c:f>
              <c:strCache>
                <c:ptCount val="5"/>
                <c:pt idx="0">
                  <c:v>Email Re-engagement</c:v>
                </c:pt>
                <c:pt idx="1">
                  <c:v>Referral Bonus</c:v>
                </c:pt>
                <c:pt idx="2">
                  <c:v>Affiliate Marketing</c:v>
                </c:pt>
                <c:pt idx="3">
                  <c:v>Email Newsletter</c:v>
                </c:pt>
                <c:pt idx="4">
                  <c:v>Affiliate Network</c:v>
                </c:pt>
              </c:strCache>
            </c:strRef>
          </c:cat>
          <c:val>
            <c:numRef>
              <c:f>Analysis!$B$16:$B$21</c:f>
              <c:numCache>
                <c:formatCode>General</c:formatCode>
                <c:ptCount val="5"/>
                <c:pt idx="0">
                  <c:v>16.326113116726834</c:v>
                </c:pt>
                <c:pt idx="1">
                  <c:v>27.771804062126641</c:v>
                </c:pt>
                <c:pt idx="2">
                  <c:v>28.140873015873016</c:v>
                </c:pt>
                <c:pt idx="3">
                  <c:v>34.397677793904208</c:v>
                </c:pt>
                <c:pt idx="4">
                  <c:v>61.331325301204821</c:v>
                </c:pt>
              </c:numCache>
            </c:numRef>
          </c:val>
          <c:extLst>
            <c:ext xmlns:c16="http://schemas.microsoft.com/office/drawing/2014/chart" uri="{C3380CC4-5D6E-409C-BE32-E72D297353CC}">
              <c16:uniqueId val="{00000000-F699-4FA2-8FE0-680A99319934}"/>
            </c:ext>
          </c:extLst>
        </c:ser>
        <c:dLbls>
          <c:showLegendKey val="0"/>
          <c:showVal val="0"/>
          <c:showCatName val="0"/>
          <c:showSerName val="0"/>
          <c:showPercent val="0"/>
          <c:showBubbleSize val="0"/>
        </c:dLbls>
        <c:gapWidth val="182"/>
        <c:axId val="2033974176"/>
        <c:axId val="2033973216"/>
      </c:barChart>
      <c:catAx>
        <c:axId val="203397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73216"/>
        <c:crosses val="autoZero"/>
        <c:auto val="1"/>
        <c:lblAlgn val="ctr"/>
        <c:lblOffset val="100"/>
        <c:noMultiLvlLbl val="0"/>
      </c:catAx>
      <c:valAx>
        <c:axId val="203397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74176"/>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a:t>
            </a:r>
            <a:r>
              <a:rPr lang="en-US" baseline="0"/>
              <a:t> Perfomance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Analysis!$B$62</c:f>
              <c:strCache>
                <c:ptCount val="1"/>
                <c:pt idx="0">
                  <c:v>Total</c:v>
                </c:pt>
              </c:strCache>
            </c:strRef>
          </c:tx>
          <c:spPr>
            <a:solidFill>
              <a:schemeClr val="accent1"/>
            </a:solidFill>
            <a:ln>
              <a:noFill/>
            </a:ln>
            <a:effectLst/>
          </c:spPr>
          <c:invertIfNegative val="0"/>
          <c:cat>
            <c:multiLvlStrRef>
              <c:f>Analysis!$A$63:$A$80</c:f>
              <c:multiLvlStrCache>
                <c:ptCount val="13"/>
                <c:lvl>
                  <c:pt idx="0">
                    <c:v>Social</c:v>
                  </c:pt>
                  <c:pt idx="1">
                    <c:v>Paid Ads</c:v>
                  </c:pt>
                  <c:pt idx="2">
                    <c:v>Referral</c:v>
                  </c:pt>
                  <c:pt idx="3">
                    <c:v>Email</c:v>
                  </c:pt>
                  <c:pt idx="4">
                    <c:v>Paid Ads</c:v>
                  </c:pt>
                  <c:pt idx="5">
                    <c:v>Social</c:v>
                  </c:pt>
                  <c:pt idx="6">
                    <c:v>Referral</c:v>
                  </c:pt>
                  <c:pt idx="7">
                    <c:v>Email</c:v>
                  </c:pt>
                  <c:pt idx="8">
                    <c:v>Paid Ads</c:v>
                  </c:pt>
                  <c:pt idx="9">
                    <c:v>Social</c:v>
                  </c:pt>
                  <c:pt idx="10">
                    <c:v>Social</c:v>
                  </c:pt>
                  <c:pt idx="11">
                    <c:v>Email</c:v>
                  </c:pt>
                  <c:pt idx="12">
                    <c:v>Paid Ads</c:v>
                  </c:pt>
                </c:lvl>
                <c:lvl>
                  <c:pt idx="0">
                    <c:v>Europe</c:v>
                  </c:pt>
                  <c:pt idx="3">
                    <c:v>North America</c:v>
                  </c:pt>
                  <c:pt idx="7">
                    <c:v>Asia Pacific</c:v>
                  </c:pt>
                  <c:pt idx="10">
                    <c:v>Latin America</c:v>
                  </c:pt>
                </c:lvl>
              </c:multiLvlStrCache>
            </c:multiLvlStrRef>
          </c:cat>
          <c:val>
            <c:numRef>
              <c:f>Analysis!$B$63:$B$80</c:f>
              <c:numCache>
                <c:formatCode>General</c:formatCode>
                <c:ptCount val="13"/>
                <c:pt idx="0">
                  <c:v>430</c:v>
                </c:pt>
                <c:pt idx="1">
                  <c:v>212</c:v>
                </c:pt>
                <c:pt idx="2">
                  <c:v>164</c:v>
                </c:pt>
                <c:pt idx="3">
                  <c:v>192</c:v>
                </c:pt>
                <c:pt idx="4">
                  <c:v>124</c:v>
                </c:pt>
                <c:pt idx="5">
                  <c:v>122</c:v>
                </c:pt>
                <c:pt idx="6">
                  <c:v>119</c:v>
                </c:pt>
                <c:pt idx="7">
                  <c:v>182</c:v>
                </c:pt>
                <c:pt idx="8">
                  <c:v>146</c:v>
                </c:pt>
                <c:pt idx="9">
                  <c:v>135</c:v>
                </c:pt>
                <c:pt idx="10">
                  <c:v>331</c:v>
                </c:pt>
                <c:pt idx="11">
                  <c:v>73</c:v>
                </c:pt>
                <c:pt idx="12">
                  <c:v>34</c:v>
                </c:pt>
              </c:numCache>
            </c:numRef>
          </c:val>
          <c:extLst>
            <c:ext xmlns:c16="http://schemas.microsoft.com/office/drawing/2014/chart" uri="{C3380CC4-5D6E-409C-BE32-E72D297353CC}">
              <c16:uniqueId val="{00000000-6CC2-48F2-9E38-98304439DDB3}"/>
            </c:ext>
          </c:extLst>
        </c:ser>
        <c:dLbls>
          <c:showLegendKey val="0"/>
          <c:showVal val="0"/>
          <c:showCatName val="0"/>
          <c:showSerName val="0"/>
          <c:showPercent val="0"/>
          <c:showBubbleSize val="0"/>
        </c:dLbls>
        <c:gapWidth val="219"/>
        <c:overlap val="-27"/>
        <c:axId val="1966222144"/>
        <c:axId val="1966224544"/>
      </c:barChart>
      <c:catAx>
        <c:axId val="196622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224544"/>
        <c:crosses val="autoZero"/>
        <c:auto val="1"/>
        <c:lblAlgn val="ctr"/>
        <c:lblOffset val="100"/>
        <c:noMultiLvlLbl val="0"/>
      </c:catAx>
      <c:valAx>
        <c:axId val="196622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22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Analysis!$B$44</c:f>
              <c:strCache>
                <c:ptCount val="1"/>
                <c:pt idx="0">
                  <c:v>Total</c:v>
                </c:pt>
              </c:strCache>
            </c:strRef>
          </c:tx>
          <c:spPr>
            <a:solidFill>
              <a:schemeClr val="accent1"/>
            </a:solidFill>
            <a:ln>
              <a:noFill/>
            </a:ln>
            <a:effectLst/>
          </c:spPr>
          <c:invertIfNegative val="0"/>
          <c:cat>
            <c:strRef>
              <c:f>Analysis!$A$45:$A$49</c:f>
              <c:strCache>
                <c:ptCount val="4"/>
                <c:pt idx="0">
                  <c:v>Europe</c:v>
                </c:pt>
                <c:pt idx="1">
                  <c:v>North America</c:v>
                </c:pt>
                <c:pt idx="2">
                  <c:v>Asia Pacific</c:v>
                </c:pt>
                <c:pt idx="3">
                  <c:v>Latin America</c:v>
                </c:pt>
              </c:strCache>
            </c:strRef>
          </c:cat>
          <c:val>
            <c:numRef>
              <c:f>Analysis!$B$45:$B$49</c:f>
              <c:numCache>
                <c:formatCode>General</c:formatCode>
                <c:ptCount val="4"/>
                <c:pt idx="0">
                  <c:v>10.194365045527691</c:v>
                </c:pt>
                <c:pt idx="1">
                  <c:v>6.4222649688279656</c:v>
                </c:pt>
                <c:pt idx="2">
                  <c:v>6.3934005108934588</c:v>
                </c:pt>
                <c:pt idx="3">
                  <c:v>4.4877937672214756</c:v>
                </c:pt>
              </c:numCache>
            </c:numRef>
          </c:val>
          <c:extLst>
            <c:ext xmlns:c16="http://schemas.microsoft.com/office/drawing/2014/chart" uri="{C3380CC4-5D6E-409C-BE32-E72D297353CC}">
              <c16:uniqueId val="{00000000-4906-49B6-8F45-610CD619F1AC}"/>
            </c:ext>
          </c:extLst>
        </c:ser>
        <c:dLbls>
          <c:showLegendKey val="0"/>
          <c:showVal val="0"/>
          <c:showCatName val="0"/>
          <c:showSerName val="0"/>
          <c:showPercent val="0"/>
          <c:showBubbleSize val="0"/>
        </c:dLbls>
        <c:gapWidth val="219"/>
        <c:overlap val="-27"/>
        <c:axId val="2116213888"/>
        <c:axId val="2116212928"/>
      </c:barChart>
      <c:catAx>
        <c:axId val="211621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212928"/>
        <c:crosses val="autoZero"/>
        <c:auto val="1"/>
        <c:lblAlgn val="ctr"/>
        <c:lblOffset val="100"/>
        <c:noMultiLvlLbl val="0"/>
      </c:catAx>
      <c:valAx>
        <c:axId val="211621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21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[Marketing_Campaign_Analysis.xlsx]Analysis!PivotTable7</c:name>
    <c:fmtId val="24"/>
  </c:pivotSource>
  <c:chart>
    <c:title>
      <c:layout>
        <c:manualLayout>
          <c:xMode val="edge"/>
          <c:yMode val="edge"/>
          <c:x val="0.3425000000000000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Analysis!$B$25</c:f>
              <c:strCache>
                <c:ptCount val="1"/>
                <c:pt idx="0">
                  <c:v>Total</c:v>
                </c:pt>
              </c:strCache>
            </c:strRef>
          </c:tx>
          <c:spPr>
            <a:solidFill>
              <a:schemeClr val="accent1"/>
            </a:solidFill>
            <a:ln>
              <a:noFill/>
            </a:ln>
            <a:effectLst/>
          </c:spPr>
          <c:invertIfNegative val="0"/>
          <c:cat>
            <c:strRef>
              <c:f>Analysis!$A$26:$A$31</c:f>
              <c:strCache>
                <c:ptCount val="5"/>
                <c:pt idx="0">
                  <c:v>Google Ads - Local</c:v>
                </c:pt>
                <c:pt idx="1">
                  <c:v>Instagram Shopping</c:v>
                </c:pt>
                <c:pt idx="2">
                  <c:v>Pinterest Promoted</c:v>
                </c:pt>
                <c:pt idx="3">
                  <c:v>Native Ads</c:v>
                </c:pt>
                <c:pt idx="4">
                  <c:v>Fall Campaign Social</c:v>
                </c:pt>
              </c:strCache>
            </c:strRef>
          </c:cat>
          <c:val>
            <c:numRef>
              <c:f>Analysis!$B$26:$B$31</c:f>
              <c:numCache>
                <c:formatCode>General</c:formatCode>
                <c:ptCount val="5"/>
                <c:pt idx="0">
                  <c:v>-0.92124503864633378</c:v>
                </c:pt>
                <c:pt idx="1">
                  <c:v>-0.37232540458346908</c:v>
                </c:pt>
                <c:pt idx="2">
                  <c:v>-0.33554670208056664</c:v>
                </c:pt>
                <c:pt idx="3">
                  <c:v>-8.5095732699286691E-3</c:v>
                </c:pt>
                <c:pt idx="4">
                  <c:v>0.1171859296482412</c:v>
                </c:pt>
              </c:numCache>
            </c:numRef>
          </c:val>
          <c:extLst>
            <c:ext xmlns:c16="http://schemas.microsoft.com/office/drawing/2014/chart" uri="{C3380CC4-5D6E-409C-BE32-E72D297353CC}">
              <c16:uniqueId val="{00000000-252C-40C0-94C2-6040F4B97058}"/>
            </c:ext>
          </c:extLst>
        </c:ser>
        <c:dLbls>
          <c:showLegendKey val="0"/>
          <c:showVal val="0"/>
          <c:showCatName val="0"/>
          <c:showSerName val="0"/>
          <c:showPercent val="0"/>
          <c:showBubbleSize val="0"/>
        </c:dLbls>
        <c:gapWidth val="219"/>
        <c:overlap val="-27"/>
        <c:axId val="2116212448"/>
        <c:axId val="2116211968"/>
      </c:barChart>
      <c:catAx>
        <c:axId val="21162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211968"/>
        <c:crosses val="autoZero"/>
        <c:auto val="1"/>
        <c:lblAlgn val="ctr"/>
        <c:lblOffset val="100"/>
        <c:noMultiLvlLbl val="0"/>
      </c:catAx>
      <c:valAx>
        <c:axId val="211621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21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Top 5 Campaigns by ROI %</a:t>
            </a:r>
            <a:endParaRPr lang="en-US" b="1">
              <a:solidFill>
                <a:schemeClr val="tx1"/>
              </a:solidFill>
            </a:endParaRPr>
          </a:p>
        </c:rich>
      </c:tx>
      <c:layout>
        <c:manualLayout>
          <c:xMode val="edge"/>
          <c:yMode val="edge"/>
          <c:x val="0.4169823098170493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s>
    <c:plotArea>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Analysis!$A$16:$A$21</c:f>
              <c:strCache>
                <c:ptCount val="5"/>
                <c:pt idx="0">
                  <c:v>Email Re-engagement</c:v>
                </c:pt>
                <c:pt idx="1">
                  <c:v>Referral Bonus</c:v>
                </c:pt>
                <c:pt idx="2">
                  <c:v>Affiliate Marketing</c:v>
                </c:pt>
                <c:pt idx="3">
                  <c:v>Email Newsletter</c:v>
                </c:pt>
                <c:pt idx="4">
                  <c:v>Affiliate Network</c:v>
                </c:pt>
              </c:strCache>
            </c:strRef>
          </c:cat>
          <c:val>
            <c:numRef>
              <c:f>Analysis!$B$16:$B$21</c:f>
              <c:numCache>
                <c:formatCode>General</c:formatCode>
                <c:ptCount val="5"/>
                <c:pt idx="0">
                  <c:v>16.326113116726834</c:v>
                </c:pt>
                <c:pt idx="1">
                  <c:v>27.771804062126641</c:v>
                </c:pt>
                <c:pt idx="2">
                  <c:v>28.140873015873016</c:v>
                </c:pt>
                <c:pt idx="3">
                  <c:v>34.397677793904208</c:v>
                </c:pt>
                <c:pt idx="4">
                  <c:v>61.331325301204821</c:v>
                </c:pt>
              </c:numCache>
            </c:numRef>
          </c:val>
          <c:extLst>
            <c:ext xmlns:c16="http://schemas.microsoft.com/office/drawing/2014/chart" uri="{C3380CC4-5D6E-409C-BE32-E72D297353CC}">
              <c16:uniqueId val="{00000000-5BBB-4613-934D-E3C86667D639}"/>
            </c:ext>
          </c:extLst>
        </c:ser>
        <c:dLbls>
          <c:dLblPos val="outEnd"/>
          <c:showLegendKey val="0"/>
          <c:showVal val="1"/>
          <c:showCatName val="0"/>
          <c:showSerName val="0"/>
          <c:showPercent val="0"/>
          <c:showBubbleSize val="0"/>
        </c:dLbls>
        <c:gapWidth val="314"/>
        <c:axId val="2033974176"/>
        <c:axId val="2033973216"/>
      </c:barChart>
      <c:catAx>
        <c:axId val="203397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33973216"/>
        <c:crosses val="autoZero"/>
        <c:auto val="1"/>
        <c:lblAlgn val="ctr"/>
        <c:lblOffset val="100"/>
        <c:noMultiLvlLbl val="0"/>
      </c:catAx>
      <c:valAx>
        <c:axId val="203397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33974176"/>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[Marketing_Campaign_Analysis.xlsx]Analysis!PivotTable2</c:name>
    <c:fmtId val="2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Channel</a:t>
            </a:r>
            <a:r>
              <a:rPr lang="en-US" b="1" baseline="0">
                <a:solidFill>
                  <a:sysClr val="windowText" lastClr="000000"/>
                </a:solidFill>
              </a:rPr>
              <a:t> Perforance as per ROI</a:t>
            </a:r>
          </a:p>
        </c:rich>
      </c:tx>
      <c:layout>
        <c:manualLayout>
          <c:xMode val="edge"/>
          <c:yMode val="edge"/>
          <c:x val="0.33850678040244964"/>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3"/>
            </a:solidFill>
            <a:round/>
          </a:ln>
          <a:effectLst/>
        </c:spPr>
        <c:marker>
          <c:symbol val="none"/>
        </c:marker>
        <c:dLbl>
          <c:idx val="0"/>
          <c:layout>
            <c:manualLayout>
              <c:x val="-5.1871105315887886E-2"/>
              <c:y val="-0.1125419975339504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3"/>
            </a:solidFill>
            <a:round/>
          </a:ln>
          <a:effectLst/>
        </c:spPr>
        <c:marker>
          <c:symbol val="none"/>
        </c:marker>
        <c:dLbl>
          <c:idx val="0"/>
          <c:layout>
            <c:manualLayout>
              <c:x val="-5.6586660344604967E-2"/>
              <c:y val="-0.2518797087664604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none"/>
        </c:marker>
        <c:dLbl>
          <c:idx val="0"/>
          <c:layout>
            <c:manualLayout>
              <c:x val="-6.8396222033555096E-2"/>
              <c:y val="-4.818446453194423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3"/>
            </a:solidFill>
            <a:round/>
          </a:ln>
          <a:effectLst/>
        </c:spPr>
        <c:marker>
          <c:symbol val="none"/>
        </c:marker>
        <c:dLbl>
          <c:idx val="0"/>
          <c:layout>
            <c:manualLayout>
              <c:x val="-6.130221537332213E-2"/>
              <c:y val="-0.49840027479320881"/>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Sum of Revenue</c:v>
                </c:pt>
              </c:strCache>
            </c:strRef>
          </c:tx>
          <c:spPr>
            <a:solidFill>
              <a:srgbClr val="00B050"/>
            </a:solidFill>
            <a:ln>
              <a:noFill/>
            </a:ln>
            <a:effectLst/>
          </c:spPr>
          <c:invertIfNegative val="0"/>
          <c:cat>
            <c:strRef>
              <c:f>Analysis!$A$5:$A$9</c:f>
              <c:strCache>
                <c:ptCount val="4"/>
                <c:pt idx="0">
                  <c:v>Referral</c:v>
                </c:pt>
                <c:pt idx="1">
                  <c:v>Paid Ads</c:v>
                </c:pt>
                <c:pt idx="2">
                  <c:v>Email</c:v>
                </c:pt>
                <c:pt idx="3">
                  <c:v>Social</c:v>
                </c:pt>
              </c:strCache>
            </c:strRef>
          </c:cat>
          <c:val>
            <c:numRef>
              <c:f>Analysis!$B$5:$B$9</c:f>
              <c:numCache>
                <c:formatCode>General</c:formatCode>
                <c:ptCount val="4"/>
                <c:pt idx="0">
                  <c:v>77281</c:v>
                </c:pt>
                <c:pt idx="1">
                  <c:v>156485</c:v>
                </c:pt>
                <c:pt idx="2">
                  <c:v>159506</c:v>
                </c:pt>
                <c:pt idx="3">
                  <c:v>336680</c:v>
                </c:pt>
              </c:numCache>
            </c:numRef>
          </c:val>
          <c:extLst>
            <c:ext xmlns:c16="http://schemas.microsoft.com/office/drawing/2014/chart" uri="{C3380CC4-5D6E-409C-BE32-E72D297353CC}">
              <c16:uniqueId val="{00000000-5F84-40AD-BE07-4C1E9CC68A91}"/>
            </c:ext>
          </c:extLst>
        </c:ser>
        <c:ser>
          <c:idx val="1"/>
          <c:order val="1"/>
          <c:tx>
            <c:strRef>
              <c:f>Analysis!$C$4</c:f>
              <c:strCache>
                <c:ptCount val="1"/>
                <c:pt idx="0">
                  <c:v>Sum of Spend</c:v>
                </c:pt>
              </c:strCache>
            </c:strRef>
          </c:tx>
          <c:spPr>
            <a:solidFill>
              <a:srgbClr val="0070C0"/>
            </a:solidFill>
            <a:ln>
              <a:noFill/>
            </a:ln>
            <a:effectLst/>
          </c:spPr>
          <c:invertIfNegative val="0"/>
          <c:cat>
            <c:strRef>
              <c:f>Analysis!$A$5:$A$9</c:f>
              <c:strCache>
                <c:ptCount val="4"/>
                <c:pt idx="0">
                  <c:v>Referral</c:v>
                </c:pt>
                <c:pt idx="1">
                  <c:v>Paid Ads</c:v>
                </c:pt>
                <c:pt idx="2">
                  <c:v>Email</c:v>
                </c:pt>
                <c:pt idx="3">
                  <c:v>Social</c:v>
                </c:pt>
              </c:strCache>
            </c:strRef>
          </c:cat>
          <c:val>
            <c:numRef>
              <c:f>Analysis!$C$5:$C$9</c:f>
              <c:numCache>
                <c:formatCode>General</c:formatCode>
                <c:ptCount val="4"/>
                <c:pt idx="0">
                  <c:v>2783</c:v>
                </c:pt>
                <c:pt idx="1">
                  <c:v>75827</c:v>
                </c:pt>
                <c:pt idx="2">
                  <c:v>14814</c:v>
                </c:pt>
                <c:pt idx="3">
                  <c:v>82545</c:v>
                </c:pt>
              </c:numCache>
            </c:numRef>
          </c:val>
          <c:extLst>
            <c:ext xmlns:c16="http://schemas.microsoft.com/office/drawing/2014/chart" uri="{C3380CC4-5D6E-409C-BE32-E72D297353CC}">
              <c16:uniqueId val="{00000001-5F84-40AD-BE07-4C1E9CC68A91}"/>
            </c:ext>
          </c:extLst>
        </c:ser>
        <c:dLbls>
          <c:showLegendKey val="0"/>
          <c:showVal val="0"/>
          <c:showCatName val="0"/>
          <c:showSerName val="0"/>
          <c:showPercent val="0"/>
          <c:showBubbleSize val="0"/>
        </c:dLbls>
        <c:gapWidth val="182"/>
        <c:axId val="690081856"/>
        <c:axId val="690078976"/>
      </c:barChart>
      <c:lineChart>
        <c:grouping val="standard"/>
        <c:varyColors val="0"/>
        <c:ser>
          <c:idx val="2"/>
          <c:order val="2"/>
          <c:tx>
            <c:strRef>
              <c:f>Analysis!$D$4</c:f>
              <c:strCache>
                <c:ptCount val="1"/>
                <c:pt idx="0">
                  <c:v>Average of ROI % (Return on Investment)</c:v>
                </c:pt>
              </c:strCache>
            </c:strRef>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03-5F84-40AD-BE07-4C1E9CC68A91}"/>
              </c:ext>
            </c:extLst>
          </c:dPt>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04-5F84-40AD-BE07-4C1E9CC68A91}"/>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05-5F84-40AD-BE07-4C1E9CC68A91}"/>
              </c:ext>
            </c:extLst>
          </c:dPt>
          <c:dPt>
            <c:idx val="3"/>
            <c:marker>
              <c:symbol val="none"/>
            </c:marker>
            <c:bubble3D val="0"/>
            <c:spPr>
              <a:ln w="28575" cap="rnd">
                <a:solidFill>
                  <a:schemeClr val="accent3"/>
                </a:solidFill>
                <a:round/>
              </a:ln>
              <a:effectLst/>
            </c:spPr>
            <c:extLst>
              <c:ext xmlns:c16="http://schemas.microsoft.com/office/drawing/2014/chart" uri="{C3380CC4-5D6E-409C-BE32-E72D297353CC}">
                <c16:uniqueId val="{00000006-5F84-40AD-BE07-4C1E9CC68A91}"/>
              </c:ext>
            </c:extLst>
          </c:dPt>
          <c:dLbls>
            <c:dLbl>
              <c:idx val="0"/>
              <c:layout>
                <c:manualLayout>
                  <c:x val="-6.8396222033555096E-2"/>
                  <c:y val="-4.8184464531944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84-40AD-BE07-4C1E9CC68A91}"/>
                </c:ext>
              </c:extLst>
            </c:dLbl>
            <c:dLbl>
              <c:idx val="1"/>
              <c:layout>
                <c:manualLayout>
                  <c:x val="-5.6586660344604967E-2"/>
                  <c:y val="-0.251879708766460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84-40AD-BE07-4C1E9CC68A91}"/>
                </c:ext>
              </c:extLst>
            </c:dLbl>
            <c:dLbl>
              <c:idx val="2"/>
              <c:layout>
                <c:manualLayout>
                  <c:x val="-5.1871105315887886E-2"/>
                  <c:y val="-0.112541997533950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84-40AD-BE07-4C1E9CC68A91}"/>
                </c:ext>
              </c:extLst>
            </c:dLbl>
            <c:dLbl>
              <c:idx val="3"/>
              <c:layout>
                <c:manualLayout>
                  <c:x val="-6.130221537332213E-2"/>
                  <c:y val="-0.49840027479320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84-40AD-BE07-4C1E9CC68A9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Analysis!$A$5:$A$9</c:f>
              <c:strCache>
                <c:ptCount val="4"/>
                <c:pt idx="0">
                  <c:v>Referral</c:v>
                </c:pt>
                <c:pt idx="1">
                  <c:v>Paid Ads</c:v>
                </c:pt>
                <c:pt idx="2">
                  <c:v>Email</c:v>
                </c:pt>
                <c:pt idx="3">
                  <c:v>Social</c:v>
                </c:pt>
              </c:strCache>
            </c:strRef>
          </c:cat>
          <c:val>
            <c:numRef>
              <c:f>Analysis!$D$5:$D$9</c:f>
              <c:numCache>
                <c:formatCode>General</c:formatCode>
                <c:ptCount val="4"/>
                <c:pt idx="0">
                  <c:v>31.039549323614679</c:v>
                </c:pt>
                <c:pt idx="1">
                  <c:v>1.8540678781107223</c:v>
                </c:pt>
                <c:pt idx="2">
                  <c:v>11.35041274451337</c:v>
                </c:pt>
                <c:pt idx="3">
                  <c:v>3.4484065512273294</c:v>
                </c:pt>
              </c:numCache>
            </c:numRef>
          </c:val>
          <c:smooth val="0"/>
          <c:extLst>
            <c:ext xmlns:c16="http://schemas.microsoft.com/office/drawing/2014/chart" uri="{C3380CC4-5D6E-409C-BE32-E72D297353CC}">
              <c16:uniqueId val="{00000002-5F84-40AD-BE07-4C1E9CC68A91}"/>
            </c:ext>
          </c:extLst>
        </c:ser>
        <c:dLbls>
          <c:showLegendKey val="0"/>
          <c:showVal val="0"/>
          <c:showCatName val="0"/>
          <c:showSerName val="0"/>
          <c:showPercent val="0"/>
          <c:showBubbleSize val="0"/>
        </c:dLbls>
        <c:marker val="1"/>
        <c:smooth val="0"/>
        <c:axId val="1844034688"/>
        <c:axId val="1844034208"/>
      </c:lineChart>
      <c:catAx>
        <c:axId val="69008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90078976"/>
        <c:crosses val="autoZero"/>
        <c:auto val="1"/>
        <c:lblAlgn val="ctr"/>
        <c:lblOffset val="100"/>
        <c:noMultiLvlLbl val="0"/>
      </c:catAx>
      <c:valAx>
        <c:axId val="69007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90081856"/>
        <c:crosses val="autoZero"/>
        <c:crossBetween val="between"/>
        <c:majorUnit val="100000"/>
      </c:valAx>
      <c:valAx>
        <c:axId val="18440342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44034688"/>
        <c:crosses val="max"/>
        <c:crossBetween val="between"/>
      </c:valAx>
      <c:catAx>
        <c:axId val="1844034688"/>
        <c:scaling>
          <c:orientation val="minMax"/>
        </c:scaling>
        <c:delete val="1"/>
        <c:axPos val="b"/>
        <c:numFmt formatCode="General" sourceLinked="1"/>
        <c:majorTickMark val="out"/>
        <c:minorTickMark val="none"/>
        <c:tickLblPos val="nextTo"/>
        <c:crossAx val="1844034208"/>
        <c:crosses val="autoZero"/>
        <c:auto val="1"/>
        <c:lblAlgn val="ctr"/>
        <c:lblOffset val="100"/>
        <c:noMultiLvlLbl val="0"/>
      </c:catAx>
      <c:spPr>
        <a:noFill/>
        <a:ln>
          <a:noFill/>
        </a:ln>
        <a:effectLst/>
      </c:spPr>
    </c:plotArea>
    <c:legend>
      <c:legendPos val="r"/>
      <c:overlay val="0"/>
      <c:spPr>
        <a:solidFill>
          <a:schemeClr val="bg1">
            <a:lumMod val="85000"/>
          </a:schemeClr>
        </a:solid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[Marketing_Campaign_Analysis.xlsx]Analysis!PivotTable6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Channel</a:t>
            </a:r>
            <a:r>
              <a:rPr lang="en-US" b="1" baseline="0">
                <a:solidFill>
                  <a:schemeClr val="tx1">
                    <a:lumMod val="95000"/>
                    <a:lumOff val="5000"/>
                  </a:schemeClr>
                </a:solidFill>
              </a:rPr>
              <a:t> Perfomance by Region</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pivotFmt>
      <c:pivotFmt>
        <c:idx val="4"/>
        <c:spPr>
          <a:solidFill>
            <a:schemeClr val="accent4">
              <a:lumMod val="75000"/>
            </a:schemeClr>
          </a:solidFill>
          <a:ln>
            <a:noFill/>
          </a:ln>
          <a:effectLst/>
        </c:spPr>
      </c:pivotFmt>
      <c:pivotFmt>
        <c:idx val="5"/>
        <c:spPr>
          <a:solidFill>
            <a:srgbClr val="7030A0"/>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chemeClr val="bg2">
              <a:lumMod val="50000"/>
            </a:schemeClr>
          </a:solidFill>
          <a:ln>
            <a:noFill/>
          </a:ln>
          <a:effectLst/>
        </c:spPr>
      </c:pivotFmt>
      <c:pivotFmt>
        <c:idx val="10"/>
        <c:spPr>
          <a:solidFill>
            <a:schemeClr val="bg2">
              <a:lumMod val="50000"/>
            </a:schemeClr>
          </a:solidFill>
          <a:ln>
            <a:noFill/>
          </a:ln>
          <a:effectLst/>
        </c:spPr>
      </c:pivotFmt>
      <c:pivotFmt>
        <c:idx val="11"/>
        <c:spPr>
          <a:solidFill>
            <a:schemeClr val="bg2">
              <a:lumMod val="50000"/>
            </a:schemeClr>
          </a:solidFill>
          <a:ln>
            <a:noFill/>
          </a:ln>
          <a:effectLst/>
        </c:spPr>
      </c:pivotFmt>
      <c:pivotFmt>
        <c:idx val="12"/>
        <c:spPr>
          <a:solidFill>
            <a:schemeClr val="bg2">
              <a:lumMod val="50000"/>
            </a:schemeClr>
          </a:solidFill>
          <a:ln>
            <a:noFill/>
          </a:ln>
          <a:effectLst/>
        </c:spPr>
      </c:pivotFmt>
    </c:pivotFmts>
    <c:plotArea>
      <c:layout/>
      <c:barChart>
        <c:barDir val="col"/>
        <c:grouping val="clustered"/>
        <c:varyColors val="0"/>
        <c:ser>
          <c:idx val="0"/>
          <c:order val="0"/>
          <c:tx>
            <c:strRef>
              <c:f>Analysis!$B$62</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7B4-45C0-9331-BCA5D84D234D}"/>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7-B7B4-45C0-9331-BCA5D84D234D}"/>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1-B7B4-45C0-9331-BCA5D84D234D}"/>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8-B7B4-45C0-9331-BCA5D84D234D}"/>
              </c:ext>
            </c:extLst>
          </c:dPt>
          <c:dPt>
            <c:idx val="5"/>
            <c:invertIfNegative val="0"/>
            <c:bubble3D val="0"/>
            <c:spPr>
              <a:solidFill>
                <a:srgbClr val="7030A0"/>
              </a:solidFill>
              <a:ln>
                <a:noFill/>
              </a:ln>
              <a:effectLst/>
            </c:spPr>
            <c:extLst>
              <c:ext xmlns:c16="http://schemas.microsoft.com/office/drawing/2014/chart" uri="{C3380CC4-5D6E-409C-BE32-E72D297353CC}">
                <c16:uniqueId val="{00000006-B7B4-45C0-9331-BCA5D84D234D}"/>
              </c:ext>
            </c:extLst>
          </c:dPt>
          <c:dPt>
            <c:idx val="6"/>
            <c:invertIfNegative val="0"/>
            <c:bubble3D val="0"/>
            <c:spPr>
              <a:solidFill>
                <a:schemeClr val="accent4">
                  <a:lumMod val="75000"/>
                </a:schemeClr>
              </a:solidFill>
              <a:ln>
                <a:noFill/>
              </a:ln>
              <a:effectLst/>
            </c:spPr>
            <c:extLst>
              <c:ext xmlns:c16="http://schemas.microsoft.com/office/drawing/2014/chart" uri="{C3380CC4-5D6E-409C-BE32-E72D297353CC}">
                <c16:uniqueId val="{00000002-B7B4-45C0-9331-BCA5D84D234D}"/>
              </c:ext>
            </c:extLst>
          </c:dPt>
          <c:dPt>
            <c:idx val="8"/>
            <c:invertIfNegative val="0"/>
            <c:bubble3D val="0"/>
            <c:spPr>
              <a:solidFill>
                <a:schemeClr val="bg2">
                  <a:lumMod val="50000"/>
                </a:schemeClr>
              </a:solidFill>
              <a:ln>
                <a:noFill/>
              </a:ln>
              <a:effectLst/>
            </c:spPr>
            <c:extLst>
              <c:ext xmlns:c16="http://schemas.microsoft.com/office/drawing/2014/chart" uri="{C3380CC4-5D6E-409C-BE32-E72D297353CC}">
                <c16:uniqueId val="{00000009-B7B4-45C0-9331-BCA5D84D234D}"/>
              </c:ext>
            </c:extLst>
          </c:dPt>
          <c:dPt>
            <c:idx val="9"/>
            <c:invertIfNegative val="0"/>
            <c:bubble3D val="0"/>
            <c:spPr>
              <a:solidFill>
                <a:srgbClr val="7030A0"/>
              </a:solidFill>
              <a:ln>
                <a:noFill/>
              </a:ln>
              <a:effectLst/>
            </c:spPr>
            <c:extLst>
              <c:ext xmlns:c16="http://schemas.microsoft.com/office/drawing/2014/chart" uri="{C3380CC4-5D6E-409C-BE32-E72D297353CC}">
                <c16:uniqueId val="{00000005-B7B4-45C0-9331-BCA5D84D234D}"/>
              </c:ext>
            </c:extLst>
          </c:dPt>
          <c:dPt>
            <c:idx val="10"/>
            <c:invertIfNegative val="0"/>
            <c:bubble3D val="0"/>
            <c:spPr>
              <a:solidFill>
                <a:srgbClr val="7030A0"/>
              </a:solidFill>
              <a:ln>
                <a:noFill/>
              </a:ln>
              <a:effectLst/>
            </c:spPr>
            <c:extLst>
              <c:ext xmlns:c16="http://schemas.microsoft.com/office/drawing/2014/chart" uri="{C3380CC4-5D6E-409C-BE32-E72D297353CC}">
                <c16:uniqueId val="{00000004-B7B4-45C0-9331-BCA5D84D234D}"/>
              </c:ext>
            </c:extLst>
          </c:dPt>
          <c:dPt>
            <c:idx val="12"/>
            <c:invertIfNegative val="0"/>
            <c:bubble3D val="0"/>
            <c:spPr>
              <a:solidFill>
                <a:schemeClr val="bg2">
                  <a:lumMod val="50000"/>
                </a:schemeClr>
              </a:solidFill>
              <a:ln>
                <a:noFill/>
              </a:ln>
              <a:effectLst/>
            </c:spPr>
            <c:extLst>
              <c:ext xmlns:c16="http://schemas.microsoft.com/office/drawing/2014/chart" uri="{C3380CC4-5D6E-409C-BE32-E72D297353CC}">
                <c16:uniqueId val="{0000000A-B7B4-45C0-9331-BCA5D84D23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Analysis!$A$63:$A$80</c:f>
              <c:multiLvlStrCache>
                <c:ptCount val="13"/>
                <c:lvl>
                  <c:pt idx="0">
                    <c:v>Social</c:v>
                  </c:pt>
                  <c:pt idx="1">
                    <c:v>Paid Ads</c:v>
                  </c:pt>
                  <c:pt idx="2">
                    <c:v>Referral</c:v>
                  </c:pt>
                  <c:pt idx="3">
                    <c:v>Email</c:v>
                  </c:pt>
                  <c:pt idx="4">
                    <c:v>Paid Ads</c:v>
                  </c:pt>
                  <c:pt idx="5">
                    <c:v>Social</c:v>
                  </c:pt>
                  <c:pt idx="6">
                    <c:v>Referral</c:v>
                  </c:pt>
                  <c:pt idx="7">
                    <c:v>Email</c:v>
                  </c:pt>
                  <c:pt idx="8">
                    <c:v>Paid Ads</c:v>
                  </c:pt>
                  <c:pt idx="9">
                    <c:v>Social</c:v>
                  </c:pt>
                  <c:pt idx="10">
                    <c:v>Social</c:v>
                  </c:pt>
                  <c:pt idx="11">
                    <c:v>Email</c:v>
                  </c:pt>
                  <c:pt idx="12">
                    <c:v>Paid Ads</c:v>
                  </c:pt>
                </c:lvl>
                <c:lvl>
                  <c:pt idx="0">
                    <c:v>Europe</c:v>
                  </c:pt>
                  <c:pt idx="3">
                    <c:v>North America</c:v>
                  </c:pt>
                  <c:pt idx="7">
                    <c:v>Asia Pacific</c:v>
                  </c:pt>
                  <c:pt idx="10">
                    <c:v>Latin America</c:v>
                  </c:pt>
                </c:lvl>
              </c:multiLvlStrCache>
            </c:multiLvlStrRef>
          </c:cat>
          <c:val>
            <c:numRef>
              <c:f>Analysis!$B$63:$B$80</c:f>
              <c:numCache>
                <c:formatCode>General</c:formatCode>
                <c:ptCount val="13"/>
                <c:pt idx="0">
                  <c:v>430</c:v>
                </c:pt>
                <c:pt idx="1">
                  <c:v>212</c:v>
                </c:pt>
                <c:pt idx="2">
                  <c:v>164</c:v>
                </c:pt>
                <c:pt idx="3">
                  <c:v>192</c:v>
                </c:pt>
                <c:pt idx="4">
                  <c:v>124</c:v>
                </c:pt>
                <c:pt idx="5">
                  <c:v>122</c:v>
                </c:pt>
                <c:pt idx="6">
                  <c:v>119</c:v>
                </c:pt>
                <c:pt idx="7">
                  <c:v>182</c:v>
                </c:pt>
                <c:pt idx="8">
                  <c:v>146</c:v>
                </c:pt>
                <c:pt idx="9">
                  <c:v>135</c:v>
                </c:pt>
                <c:pt idx="10">
                  <c:v>331</c:v>
                </c:pt>
                <c:pt idx="11">
                  <c:v>73</c:v>
                </c:pt>
                <c:pt idx="12">
                  <c:v>34</c:v>
                </c:pt>
              </c:numCache>
            </c:numRef>
          </c:val>
          <c:extLst>
            <c:ext xmlns:c16="http://schemas.microsoft.com/office/drawing/2014/chart" uri="{C3380CC4-5D6E-409C-BE32-E72D297353CC}">
              <c16:uniqueId val="{00000000-B7B4-45C0-9331-BCA5D84D234D}"/>
            </c:ext>
          </c:extLst>
        </c:ser>
        <c:dLbls>
          <c:dLblPos val="outEnd"/>
          <c:showLegendKey val="0"/>
          <c:showVal val="1"/>
          <c:showCatName val="0"/>
          <c:showSerName val="0"/>
          <c:showPercent val="0"/>
          <c:showBubbleSize val="0"/>
        </c:dLbls>
        <c:gapWidth val="219"/>
        <c:overlap val="-27"/>
        <c:axId val="1966222144"/>
        <c:axId val="1966224544"/>
      </c:barChart>
      <c:catAx>
        <c:axId val="1966222144"/>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966224544"/>
        <c:crosses val="autoZero"/>
        <c:auto val="1"/>
        <c:lblAlgn val="ctr"/>
        <c:lblOffset val="100"/>
        <c:noMultiLvlLbl val="0"/>
      </c:catAx>
      <c:valAx>
        <c:axId val="196622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622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Avg</a:t>
            </a:r>
            <a:r>
              <a:rPr lang="en-US" b="1" baseline="0">
                <a:solidFill>
                  <a:schemeClr val="tx1">
                    <a:lumMod val="95000"/>
                    <a:lumOff val="5000"/>
                  </a:schemeClr>
                </a:solidFill>
              </a:rPr>
              <a:t> ROI per Region</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Analysis!$B$44</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Analysis!$A$45:$A$49</c:f>
              <c:strCache>
                <c:ptCount val="4"/>
                <c:pt idx="0">
                  <c:v>Europe</c:v>
                </c:pt>
                <c:pt idx="1">
                  <c:v>North America</c:v>
                </c:pt>
                <c:pt idx="2">
                  <c:v>Asia Pacific</c:v>
                </c:pt>
                <c:pt idx="3">
                  <c:v>Latin America</c:v>
                </c:pt>
              </c:strCache>
            </c:strRef>
          </c:cat>
          <c:val>
            <c:numRef>
              <c:f>Analysis!$B$45:$B$49</c:f>
              <c:numCache>
                <c:formatCode>General</c:formatCode>
                <c:ptCount val="4"/>
                <c:pt idx="0">
                  <c:v>10.194365045527691</c:v>
                </c:pt>
                <c:pt idx="1">
                  <c:v>6.4222649688279656</c:v>
                </c:pt>
                <c:pt idx="2">
                  <c:v>6.3934005108934588</c:v>
                </c:pt>
                <c:pt idx="3">
                  <c:v>4.4877937672214756</c:v>
                </c:pt>
              </c:numCache>
            </c:numRef>
          </c:val>
          <c:extLst>
            <c:ext xmlns:c16="http://schemas.microsoft.com/office/drawing/2014/chart" uri="{C3380CC4-5D6E-409C-BE32-E72D297353CC}">
              <c16:uniqueId val="{00000000-A4CF-4A9C-8DFF-D94C6E8156B7}"/>
            </c:ext>
          </c:extLst>
        </c:ser>
        <c:dLbls>
          <c:dLblPos val="outEnd"/>
          <c:showLegendKey val="0"/>
          <c:showVal val="1"/>
          <c:showCatName val="0"/>
          <c:showSerName val="0"/>
          <c:showPercent val="0"/>
          <c:showBubbleSize val="0"/>
        </c:dLbls>
        <c:gapWidth val="219"/>
        <c:overlap val="-27"/>
        <c:axId val="2116213888"/>
        <c:axId val="2116212928"/>
      </c:barChart>
      <c:catAx>
        <c:axId val="2116213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116212928"/>
        <c:crosses val="autoZero"/>
        <c:auto val="1"/>
        <c:lblAlgn val="ctr"/>
        <c:lblOffset val="100"/>
        <c:noMultiLvlLbl val="0"/>
      </c:catAx>
      <c:valAx>
        <c:axId val="2116212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11621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[Marketing_Campaign_Analysis.xlsx]Analysis!PivotTable7</c:name>
    <c:fmtId val="2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Bottom 5 Campain by % ROI</a:t>
            </a:r>
          </a:p>
        </c:rich>
      </c:tx>
      <c:layout>
        <c:manualLayout>
          <c:xMode val="edge"/>
          <c:yMode val="edge"/>
          <c:x val="0.28200409148984878"/>
          <c:y val="9.46598926176535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Analysis!$B$25</c:f>
              <c:strCache>
                <c:ptCount val="1"/>
                <c:pt idx="0">
                  <c:v>Total</c:v>
                </c:pt>
              </c:strCache>
            </c:strRef>
          </c:tx>
          <c:spPr>
            <a:solidFill>
              <a:schemeClr val="accent1"/>
            </a:solidFill>
            <a:ln>
              <a:noFill/>
            </a:ln>
            <a:effectLst/>
          </c:spPr>
          <c:invertIfNegative val="0"/>
          <c:cat>
            <c:strRef>
              <c:f>Analysis!$A$26:$A$31</c:f>
              <c:strCache>
                <c:ptCount val="5"/>
                <c:pt idx="0">
                  <c:v>Google Ads - Local</c:v>
                </c:pt>
                <c:pt idx="1">
                  <c:v>Instagram Shopping</c:v>
                </c:pt>
                <c:pt idx="2">
                  <c:v>Pinterest Promoted</c:v>
                </c:pt>
                <c:pt idx="3">
                  <c:v>Native Ads</c:v>
                </c:pt>
                <c:pt idx="4">
                  <c:v>Fall Campaign Social</c:v>
                </c:pt>
              </c:strCache>
            </c:strRef>
          </c:cat>
          <c:val>
            <c:numRef>
              <c:f>Analysis!$B$26:$B$31</c:f>
              <c:numCache>
                <c:formatCode>General</c:formatCode>
                <c:ptCount val="5"/>
                <c:pt idx="0">
                  <c:v>-0.92124503864633378</c:v>
                </c:pt>
                <c:pt idx="1">
                  <c:v>-0.37232540458346908</c:v>
                </c:pt>
                <c:pt idx="2">
                  <c:v>-0.33554670208056664</c:v>
                </c:pt>
                <c:pt idx="3">
                  <c:v>-8.5095732699286691E-3</c:v>
                </c:pt>
                <c:pt idx="4">
                  <c:v>0.1171859296482412</c:v>
                </c:pt>
              </c:numCache>
            </c:numRef>
          </c:val>
          <c:extLst>
            <c:ext xmlns:c16="http://schemas.microsoft.com/office/drawing/2014/chart" uri="{C3380CC4-5D6E-409C-BE32-E72D297353CC}">
              <c16:uniqueId val="{00000000-0B85-493C-BD44-225A3C29E64E}"/>
            </c:ext>
          </c:extLst>
        </c:ser>
        <c:dLbls>
          <c:showLegendKey val="0"/>
          <c:showVal val="0"/>
          <c:showCatName val="0"/>
          <c:showSerName val="0"/>
          <c:showPercent val="0"/>
          <c:showBubbleSize val="0"/>
        </c:dLbls>
        <c:gapWidth val="219"/>
        <c:overlap val="-27"/>
        <c:axId val="2116212448"/>
        <c:axId val="2116211968"/>
      </c:barChart>
      <c:catAx>
        <c:axId val="21162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000" b="1" i="0" u="none" strike="noStrike" kern="1200" baseline="0">
                <a:solidFill>
                  <a:schemeClr val="tx1">
                    <a:lumMod val="95000"/>
                    <a:lumOff val="5000"/>
                  </a:schemeClr>
                </a:solidFill>
                <a:latin typeface="+mn-lt"/>
                <a:ea typeface="+mn-ea"/>
                <a:cs typeface="+mn-cs"/>
              </a:defRPr>
            </a:pPr>
            <a:endParaRPr lang="en-US"/>
          </a:p>
        </c:txPr>
        <c:crossAx val="2116211968"/>
        <c:crosses val="autoZero"/>
        <c:auto val="1"/>
        <c:lblAlgn val="ctr"/>
        <c:lblOffset val="100"/>
        <c:noMultiLvlLbl val="0"/>
      </c:catAx>
      <c:valAx>
        <c:axId val="211621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162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tx>
        <cx:txData>
          <cx:v>Customer Stage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Stage Distribution</a:t>
          </a:r>
        </a:p>
      </cx:txPr>
    </cx:title>
    <cx:plotArea>
      <cx:plotAreaRegion>
        <cx:series layoutId="funnel" uniqueId="{BA28560E-4A97-4BAA-B321-0C0825BC389F}">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_xlchart.v2.4</cx:f>
      </cx:strDim>
      <cx:numDim type="val">
        <cx:f dir="row">_xlchart.v2.5</cx:f>
      </cx:numDim>
    </cx:data>
  </cx:chartData>
  <cx:chart>
    <cx:title pos="t" align="ctr" overlay="0">
      <cx:tx>
        <cx:txData>
          <cx:v>Customer Stage Distribution</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Customer Stage Distribution</a:t>
          </a:r>
        </a:p>
      </cx:txPr>
    </cx:title>
    <cx:plotArea>
      <cx:plotAreaRegion>
        <cx:series layoutId="funnel" uniqueId="{BA28560E-4A97-4BAA-B321-0C0825BC389F}">
          <cx:data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Calibri" panose="020F0502020204030204"/>
            </a:endParaRPr>
          </a:p>
        </cx:txPr>
      </cx:axis>
    </cx:plotArea>
  </cx:chart>
  <cx:spPr>
    <a:solidFill>
      <a:schemeClr val="bg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555427</xdr:colOff>
      <xdr:row>1</xdr:row>
      <xdr:rowOff>169068</xdr:rowOff>
    </xdr:from>
    <xdr:to>
      <xdr:col>13</xdr:col>
      <xdr:colOff>250627</xdr:colOff>
      <xdr:row>16</xdr:row>
      <xdr:rowOff>51792</xdr:rowOff>
    </xdr:to>
    <xdr:graphicFrame macro="">
      <xdr:nvGraphicFramePr>
        <xdr:cNvPr id="3" name="Chart 2">
          <a:extLst>
            <a:ext uri="{FF2B5EF4-FFF2-40B4-BE49-F238E27FC236}">
              <a16:creationId xmlns:a16="http://schemas.microsoft.com/office/drawing/2014/main" id="{00CAC66F-4D5B-FA76-8CF9-F3594B3DA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601464</xdr:colOff>
      <xdr:row>13</xdr:row>
      <xdr:rowOff>162919</xdr:rowOff>
    </xdr:from>
    <xdr:to>
      <xdr:col>4</xdr:col>
      <xdr:colOff>1985763</xdr:colOff>
      <xdr:row>22</xdr:row>
      <xdr:rowOff>163712</xdr:rowOff>
    </xdr:to>
    <xdr:graphicFrame macro="">
      <xdr:nvGraphicFramePr>
        <xdr:cNvPr id="6" name="Chart 5">
          <a:extLst>
            <a:ext uri="{FF2B5EF4-FFF2-40B4-BE49-F238E27FC236}">
              <a16:creationId xmlns:a16="http://schemas.microsoft.com/office/drawing/2014/main" id="{560ADDFB-3D83-2505-3C48-6F5FAD668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94</xdr:row>
      <xdr:rowOff>29762</xdr:rowOff>
    </xdr:from>
    <xdr:to>
      <xdr:col>1</xdr:col>
      <xdr:colOff>612485</xdr:colOff>
      <xdr:row>101</xdr:row>
      <xdr:rowOff>191489</xdr:rowOff>
    </xdr:to>
    <mc:AlternateContent xmlns:mc="http://schemas.openxmlformats.org/markup-compatibility/2006">
      <mc:Choice xmlns:a14="http://schemas.microsoft.com/office/drawing/2010/main" Requires="a14">
        <xdr:graphicFrame macro="">
          <xdr:nvGraphicFramePr>
            <xdr:cNvPr id="4" name="Channel 1">
              <a:extLst>
                <a:ext uri="{FF2B5EF4-FFF2-40B4-BE49-F238E27FC236}">
                  <a16:creationId xmlns:a16="http://schemas.microsoft.com/office/drawing/2014/main" id="{06DEDEB5-CABA-43C2-8BAD-DFDB49FC93B6}"/>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0" y="18216559"/>
              <a:ext cx="1817993" cy="1516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7465</xdr:colOff>
      <xdr:row>94</xdr:row>
      <xdr:rowOff>41488</xdr:rowOff>
    </xdr:from>
    <xdr:to>
      <xdr:col>3</xdr:col>
      <xdr:colOff>94472</xdr:colOff>
      <xdr:row>103</xdr:row>
      <xdr:rowOff>74413</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CF6E43E3-43D9-4907-A87A-81D1F7BABB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88715" y="18228285"/>
              <a:ext cx="1813413" cy="1774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1026914</xdr:colOff>
      <xdr:row>60</xdr:row>
      <xdr:rowOff>148828</xdr:rowOff>
    </xdr:from>
    <xdr:to>
      <xdr:col>4</xdr:col>
      <xdr:colOff>2539007</xdr:colOff>
      <xdr:row>77</xdr:row>
      <xdr:rowOff>39591</xdr:rowOff>
    </xdr:to>
    <xdr:graphicFrame macro="">
      <xdr:nvGraphicFramePr>
        <xdr:cNvPr id="8" name="Chart 7">
          <a:extLst>
            <a:ext uri="{FF2B5EF4-FFF2-40B4-BE49-F238E27FC236}">
              <a16:creationId xmlns:a16="http://schemas.microsoft.com/office/drawing/2014/main" id="{97CF3A03-CD21-41A9-8BC3-180E0A1C7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699492</xdr:colOff>
      <xdr:row>42</xdr:row>
      <xdr:rowOff>178595</xdr:rowOff>
    </xdr:from>
    <xdr:to>
      <xdr:col>4</xdr:col>
      <xdr:colOff>732234</xdr:colOff>
      <xdr:row>57</xdr:row>
      <xdr:rowOff>19647</xdr:rowOff>
    </xdr:to>
    <xdr:graphicFrame macro="">
      <xdr:nvGraphicFramePr>
        <xdr:cNvPr id="13" name="Chart 12">
          <a:extLst>
            <a:ext uri="{FF2B5EF4-FFF2-40B4-BE49-F238E27FC236}">
              <a16:creationId xmlns:a16="http://schemas.microsoft.com/office/drawing/2014/main" id="{750CC7B7-575E-4A50-89AD-1B9F6F8B9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803672</xdr:colOff>
      <xdr:row>24</xdr:row>
      <xdr:rowOff>0</xdr:rowOff>
    </xdr:from>
    <xdr:to>
      <xdr:col>4</xdr:col>
      <xdr:colOff>836414</xdr:colOff>
      <xdr:row>36</xdr:row>
      <xdr:rowOff>153591</xdr:rowOff>
    </xdr:to>
    <xdr:graphicFrame macro="">
      <xdr:nvGraphicFramePr>
        <xdr:cNvPr id="17" name="Chart 16">
          <a:extLst>
            <a:ext uri="{FF2B5EF4-FFF2-40B4-BE49-F238E27FC236}">
              <a16:creationId xmlns:a16="http://schemas.microsoft.com/office/drawing/2014/main" id="{ECA13B73-5201-409D-AF94-6333763BF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238124</xdr:colOff>
      <xdr:row>83</xdr:row>
      <xdr:rowOff>-1</xdr:rowOff>
    </xdr:from>
    <xdr:to>
      <xdr:col>7</xdr:col>
      <xdr:colOff>241101</xdr:colOff>
      <xdr:row>97</xdr:row>
      <xdr:rowOff>34526</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D3A130D7-0531-463F-9CF8-E5B42C4488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72187" y="16058554"/>
              <a:ext cx="4572000" cy="27431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1169737</xdr:colOff>
      <xdr:row>3</xdr:row>
      <xdr:rowOff>127000</xdr:rowOff>
    </xdr:from>
    <xdr:to>
      <xdr:col>10</xdr:col>
      <xdr:colOff>284079</xdr:colOff>
      <xdr:row>16</xdr:row>
      <xdr:rowOff>167576</xdr:rowOff>
    </xdr:to>
    <xdr:graphicFrame macro="">
      <xdr:nvGraphicFramePr>
        <xdr:cNvPr id="3" name="Chart 2">
          <a:extLst>
            <a:ext uri="{FF2B5EF4-FFF2-40B4-BE49-F238E27FC236}">
              <a16:creationId xmlns:a16="http://schemas.microsoft.com/office/drawing/2014/main" id="{8A25F7D4-952D-48FE-AC5A-3667F6164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xdr:row>
      <xdr:rowOff>142876</xdr:rowOff>
    </xdr:from>
    <xdr:to>
      <xdr:col>5</xdr:col>
      <xdr:colOff>969211</xdr:colOff>
      <xdr:row>16</xdr:row>
      <xdr:rowOff>167107</xdr:rowOff>
    </xdr:to>
    <xdr:graphicFrame macro="">
      <xdr:nvGraphicFramePr>
        <xdr:cNvPr id="13" name="Chart 12">
          <a:extLst>
            <a:ext uri="{FF2B5EF4-FFF2-40B4-BE49-F238E27FC236}">
              <a16:creationId xmlns:a16="http://schemas.microsoft.com/office/drawing/2014/main" id="{26020329-BDD5-4552-B156-E85072F7A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65494</xdr:rowOff>
    </xdr:from>
    <xdr:to>
      <xdr:col>6</xdr:col>
      <xdr:colOff>206375</xdr:colOff>
      <xdr:row>34</xdr:row>
      <xdr:rowOff>0</xdr:rowOff>
    </xdr:to>
    <xdr:graphicFrame macro="">
      <xdr:nvGraphicFramePr>
        <xdr:cNvPr id="4" name="Chart 3">
          <a:extLst>
            <a:ext uri="{FF2B5EF4-FFF2-40B4-BE49-F238E27FC236}">
              <a16:creationId xmlns:a16="http://schemas.microsoft.com/office/drawing/2014/main" id="{65601ACF-87E0-497D-9389-7CEB9D9D5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317500</xdr:colOff>
      <xdr:row>17</xdr:row>
      <xdr:rowOff>83552</xdr:rowOff>
    </xdr:from>
    <xdr:to>
      <xdr:col>10</xdr:col>
      <xdr:colOff>300790</xdr:colOff>
      <xdr:row>34</xdr:row>
      <xdr:rowOff>47625</xdr:rowOff>
    </xdr:to>
    <xdr:graphicFrame macro="">
      <xdr:nvGraphicFramePr>
        <xdr:cNvPr id="7" name="Chart 6">
          <a:extLst>
            <a:ext uri="{FF2B5EF4-FFF2-40B4-BE49-F238E27FC236}">
              <a16:creationId xmlns:a16="http://schemas.microsoft.com/office/drawing/2014/main" id="{3D0DA10E-B2ED-4BAA-AC93-88FB3B7C2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534737</xdr:colOff>
      <xdr:row>3</xdr:row>
      <xdr:rowOff>206376</xdr:rowOff>
    </xdr:from>
    <xdr:to>
      <xdr:col>14</xdr:col>
      <xdr:colOff>551448</xdr:colOff>
      <xdr:row>16</xdr:row>
      <xdr:rowOff>116973</xdr:rowOff>
    </xdr:to>
    <xdr:graphicFrame macro="">
      <xdr:nvGraphicFramePr>
        <xdr:cNvPr id="17" name="Chart 16">
          <a:extLst>
            <a:ext uri="{FF2B5EF4-FFF2-40B4-BE49-F238E27FC236}">
              <a16:creationId xmlns:a16="http://schemas.microsoft.com/office/drawing/2014/main" id="{B298EFC1-D241-4B18-B4FF-534A34672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444500</xdr:colOff>
      <xdr:row>17</xdr:row>
      <xdr:rowOff>100263</xdr:rowOff>
    </xdr:from>
    <xdr:to>
      <xdr:col>14</xdr:col>
      <xdr:colOff>551447</xdr:colOff>
      <xdr:row>35</xdr:row>
      <xdr:rowOff>111125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DC67991-BFAB-4650-B3D3-F6038702CE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620750" y="4053138"/>
              <a:ext cx="5504447" cy="34398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4.730488425928" createdVersion="8" refreshedVersion="8" minRefreshableVersion="3" recordCount="52" xr:uid="{79D1332F-6410-4F27-9FC2-25EDB1C28ACC}">
  <cacheSource type="worksheet">
    <worksheetSource name="campaign_data"/>
  </cacheSource>
  <cacheFields count="18">
    <cacheField name="Campaign Name" numFmtId="0">
      <sharedItems count="52">
        <s v="Q1 Email Blast"/>
        <s v="Spring Social Push"/>
        <s v="Google Ads - Brand"/>
        <s v="Facebook Retargeting"/>
        <s v="LinkedIn B2B Campaign"/>
        <s v="Instagram Influencer"/>
        <s v="Email Newsletter"/>
        <s v="YouTube Pre-roll"/>
        <s v="Twitter Engagement"/>
        <s v="Google Ads - Product"/>
        <s v="Email Promo"/>
        <s v="TikTok Brand Awareness"/>
        <s v="Referral Program"/>
        <s v="Affiliate Marketing"/>
        <s v="Display Ads Network"/>
        <s v="Email Welcome Series"/>
        <s v="Facebook Lead Gen"/>
        <s v="LinkedIn Sponsored"/>
        <s v="Instagram Stories"/>
        <s v="Google Shopping Ads"/>
        <s v="Email Cart Abandonment"/>
        <s v="Snapchat Ads"/>
        <s v="Pinterest Promoted"/>
        <s v="Reddit Sponsored"/>
        <s v="Q2 Email Campaign"/>
        <s v="Summer Sale Social"/>
        <s v="Google Ads - Competitor"/>
        <s v="Facebook Lookalike"/>
        <s v="LinkedIn Content"/>
        <s v="Instagram Reels"/>
        <s v="Email Re-engagement"/>
        <s v="YouTube Influencer"/>
        <s v="Twitter Ads"/>
        <s v="Google Display"/>
        <s v="Email Product Launch"/>
        <s v="TikTok Challenge"/>
        <s v="Referral Bonus"/>
        <s v="Affiliate Network"/>
        <s v="Native Ads"/>
        <s v="Email Loyalty Program"/>
        <s v="Facebook Video Ads"/>
        <s v="LinkedIn InMail"/>
        <s v="Instagram Shopping"/>
        <s v="Google Smart Campaign"/>
        <s v="Email Birthday Series"/>
        <s v="Snapchat Filter"/>
        <s v="Pinterest Catalog"/>
        <s v="Reddit Community"/>
        <s v="Q3 Email Push"/>
        <s v="Fall Campaign Social"/>
        <s v="Google Ads - Local"/>
        <s v="Facebook Engagement"/>
      </sharedItems>
    </cacheField>
    <cacheField name="Channel" numFmtId="0">
      <sharedItems count="4">
        <s v="Email"/>
        <s v="Social"/>
        <s v="Paid Ads"/>
        <s v="Referral"/>
      </sharedItems>
    </cacheField>
    <cacheField name="Region" numFmtId="0">
      <sharedItems count="4">
        <s v="North America"/>
        <s v="Europe"/>
        <s v="Asia Pacific"/>
        <s v="Latin America"/>
      </sharedItems>
    </cacheField>
    <cacheField name="Start Date" numFmtId="14">
      <sharedItems containsSemiMixedTypes="0" containsNonDate="0" containsDate="1" containsString="0" minDate="2024-01-01T00:00:00" maxDate="2024-10-08T00:00:00" count="52">
        <d v="2024-01-01T00:00:00"/>
        <d v="2024-01-06T00:00:00"/>
        <d v="2024-01-12T00:00:00"/>
        <d v="2024-01-17T00:00:00"/>
        <d v="2024-01-23T00:00:00"/>
        <d v="2024-01-28T00:00:00"/>
        <d v="2024-02-03T00:00:00"/>
        <d v="2024-02-08T00:00:00"/>
        <d v="2024-02-14T00:00:00"/>
        <d v="2024-02-19T00:00:00"/>
        <d v="2024-02-25T00:00:00"/>
        <d v="2024-03-01T00:00:00"/>
        <d v="2024-03-07T00:00:00"/>
        <d v="2024-03-12T00:00:00"/>
        <d v="2024-03-18T00:00:00"/>
        <d v="2024-03-23T00:00:00"/>
        <d v="2024-03-29T00:00:00"/>
        <d v="2024-04-03T00:00:00"/>
        <d v="2024-04-09T00:00:00"/>
        <d v="2024-04-14T00:00:00"/>
        <d v="2024-04-20T00:00:00"/>
        <d v="2024-04-25T00:00:00"/>
        <d v="2024-05-01T00:00:00"/>
        <d v="2024-05-06T00:00:00"/>
        <d v="2024-05-12T00:00:00"/>
        <d v="2024-05-17T00:00:00"/>
        <d v="2024-05-23T00:00:00"/>
        <d v="2024-05-28T00:00:00"/>
        <d v="2024-06-03T00:00:00"/>
        <d v="2024-06-08T00:00:00"/>
        <d v="2024-06-14T00:00:00"/>
        <d v="2024-06-19T00:00:00"/>
        <d v="2024-06-25T00:00:00"/>
        <d v="2024-06-30T00:00:00"/>
        <d v="2024-07-06T00:00:00"/>
        <d v="2024-07-11T00:00:00"/>
        <d v="2024-07-17T00:00:00"/>
        <d v="2024-07-22T00:00:00"/>
        <d v="2024-07-28T00:00:00"/>
        <d v="2024-08-02T00:00:00"/>
        <d v="2024-08-08T00:00:00"/>
        <d v="2024-08-13T00:00:00"/>
        <d v="2024-08-19T00:00:00"/>
        <d v="2024-08-24T00:00:00"/>
        <d v="2024-08-30T00:00:00"/>
        <d v="2024-09-04T00:00:00"/>
        <d v="2024-09-10T00:00:00"/>
        <d v="2024-09-15T00:00:00"/>
        <d v="2024-09-21T00:00:00"/>
        <d v="2024-09-26T00:00:00"/>
        <d v="2024-10-02T00:00:00"/>
        <d v="2024-10-07T00:00:00"/>
      </sharedItems>
    </cacheField>
    <cacheField name="End Date" numFmtId="14">
      <sharedItems containsSemiMixedTypes="0" containsNonDate="0" containsDate="1" containsString="0" minDate="2024-02-04T00:00:00" maxDate="2024-11-13T00:00:00"/>
    </cacheField>
    <cacheField name="Spend" numFmtId="0">
      <sharedItems containsSemiMixedTypes="0" containsString="0" containsNumber="1" containsInteger="1" minValue="498" maxValue="9902"/>
    </cacheField>
    <cacheField name="Impressions" numFmtId="0">
      <sharedItems containsSemiMixedTypes="0" containsString="0" containsNumber="1" containsInteger="1" minValue="1718" maxValue="221158" count="52">
        <n v="12064"/>
        <n v="38091"/>
        <n v="191467"/>
        <n v="76568"/>
        <n v="57116"/>
        <n v="38111"/>
        <n v="14303"/>
        <n v="70611"/>
        <n v="23816"/>
        <n v="208334"/>
        <n v="13227"/>
        <n v="37132"/>
        <n v="1718"/>
        <n v="2876"/>
        <n v="209101"/>
        <n v="7821"/>
        <n v="81202"/>
        <n v="68702"/>
        <n v="27245"/>
        <n v="116743"/>
        <n v="14141"/>
        <n v="203765"/>
        <n v="28150"/>
        <n v="27030"/>
        <n v="7392"/>
        <n v="22780"/>
        <n v="144167"/>
        <n v="51214"/>
        <n v="37680"/>
        <n v="80692"/>
        <n v="7091"/>
        <n v="62584"/>
        <n v="135945"/>
        <n v="150678"/>
        <n v="12105"/>
        <n v="39422"/>
        <n v="3121"/>
        <n v="2805"/>
        <n v="170421"/>
        <n v="11854"/>
        <n v="201052"/>
        <n v="20742"/>
        <n v="221158"/>
        <n v="33306"/>
        <n v="10559"/>
        <n v="91127"/>
        <n v="93102"/>
        <n v="60660"/>
        <n v="8757"/>
        <n v="57567"/>
        <n v="67939"/>
        <n v="44094"/>
      </sharedItems>
    </cacheField>
    <cacheField name="Clicks" numFmtId="0">
      <sharedItems containsSemiMixedTypes="0" containsString="0" containsNumber="1" containsInteger="1" minValue="472" maxValue="10045" count="52">
        <n v="2741"/>
        <n v="3238"/>
        <n v="4661"/>
        <n v="6706"/>
        <n v="3593"/>
        <n v="10045"/>
        <n v="3512"/>
        <n v="6044"/>
        <n v="2196"/>
        <n v="9358"/>
        <n v="2411"/>
        <n v="3364"/>
        <n v="472"/>
        <n v="743"/>
        <n v="5807"/>
        <n v="1216"/>
        <n v="6922"/>
        <n v="4553"/>
        <n v="2019"/>
        <n v="5301"/>
        <n v="2585"/>
        <n v="9168"/>
        <n v="1739"/>
        <n v="2036"/>
        <n v="1712"/>
        <n v="1754"/>
        <n v="3924"/>
        <n v="3134"/>
        <n v="3467"/>
        <n v="7248"/>
        <n v="1275"/>
        <n v="3189"/>
        <n v="6732"/>
        <n v="4753"/>
        <n v="1857"/>
        <n v="2949"/>
        <n v="804"/>
        <n v="710"/>
        <n v="3921"/>
        <n v="2366"/>
        <n v="7909"/>
        <n v="1188"/>
        <n v="6042"/>
        <n v="3029"/>
        <n v="2141"/>
        <n v="8975"/>
        <n v="7802"/>
        <n v="3195"/>
        <n v="2004"/>
        <n v="4621"/>
        <n v="1649"/>
        <n v="2324"/>
      </sharedItems>
    </cacheField>
    <cacheField name="Leads" numFmtId="0">
      <sharedItems containsSemiMixedTypes="0" containsString="0" containsNumber="1" containsInteger="1" minValue="135" maxValue="1100" count="51">
        <n v="368"/>
        <n v="269"/>
        <n v="588"/>
        <n v="684"/>
        <n v="340"/>
        <n v="1100"/>
        <n v="533"/>
        <n v="539"/>
        <n v="199"/>
        <n v="858"/>
        <n v="424"/>
        <n v="443"/>
        <n v="145"/>
        <n v="311"/>
        <n v="353"/>
        <n v="179"/>
        <n v="667"/>
        <n v="663"/>
        <n v="276"/>
        <n v="393"/>
        <n v="494"/>
        <n v="1057"/>
        <n v="227"/>
        <n v="299"/>
        <n v="259"/>
        <n v="161"/>
        <n v="435"/>
        <n v="449"/>
        <n v="406"/>
        <n v="822"/>
        <n v="211"/>
        <n v="372"/>
        <n v="821"/>
        <n v="593"/>
        <n v="268"/>
        <n v="360"/>
        <n v="399"/>
        <n v="264"/>
        <n v="361"/>
        <n v="417"/>
        <n v="711"/>
        <n v="135"/>
        <n v="654"/>
        <n v="415"/>
        <n v="376"/>
        <n v="887"/>
        <n v="857"/>
        <n v="388"/>
        <n v="589"/>
        <n v="150"/>
        <n v="296"/>
      </sharedItems>
    </cacheField>
    <cacheField name="Conversions" numFmtId="0">
      <sharedItems containsSemiMixedTypes="0" containsString="0" containsNumber="1" containsInteger="1" minValue="5" maxValue="126"/>
    </cacheField>
    <cacheField name="Revenue" numFmtId="0">
      <sharedItems containsSemiMixedTypes="0" containsString="0" containsNumber="1" containsInteger="1" minValue="754" maxValue="44495"/>
    </cacheField>
    <cacheField name="CTR (Click-Through Rate)" numFmtId="0">
      <sharedItems containsSemiMixedTypes="0" containsString="0" containsNumber="1" minValue="2.3007727920854825E-2" maxValue="0.27473806752037255"/>
    </cacheField>
    <cacheField name="LEAD CONVERSION RATE" numFmtId="0">
      <sharedItems containsSemiMixedTypes="0" containsString="0" containsNumber="1" minValue="6.0788703289133807E-2" maxValue="0.4962686567164179"/>
    </cacheField>
    <cacheField name="CONVERSION RATE" numFmtId="0">
      <sharedItems containsSemiMixedTypes="0" containsString="0" containsNumber="1" minValue="3.3333333333333333E-2" maxValue="0.30225080385852088"/>
    </cacheField>
    <cacheField name="CPL (Cost Per Lead)" numFmtId="0">
      <sharedItems containsSemiMixedTypes="0" containsString="0" containsNumber="1" minValue="1.2926829268292683" maxValue="63.826666666666668"/>
    </cacheField>
    <cacheField name="CPA (Cost Per Acquisition)" numFmtId="0">
      <sharedItems containsSemiMixedTypes="0" containsString="0" containsNumber="1" minValue="5.3617021276595747" maxValue="1914.8"/>
    </cacheField>
    <cacheField name="ROI % (Return on Investment)" numFmtId="0">
      <sharedItems containsSemiMixedTypes="0" containsString="0" containsNumber="1" minValue="-0.92124503864633378" maxValue="61.331325301204821"/>
    </cacheField>
    <cacheField name="Profit" numFmtId="0">
      <sharedItems containsSemiMixedTypes="0" containsString="0" containsNumber="1" containsInteger="1" minValue="-8820" maxValue="40485"/>
    </cacheField>
  </cacheFields>
  <extLst>
    <ext xmlns:x14="http://schemas.microsoft.com/office/spreadsheetml/2009/9/main" uri="{725AE2AE-9491-48be-B2B4-4EB974FC3084}">
      <x14:pivotCacheDefinition pivotCacheId="1224161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x v="0"/>
    <x v="0"/>
    <d v="2024-02-04T00:00:00"/>
    <n v="1472"/>
    <x v="0"/>
    <x v="0"/>
    <x v="0"/>
    <n v="41"/>
    <n v="6400"/>
    <n v="0.22720490716180372"/>
    <n v="0.13425757022984311"/>
    <n v="0.11141304347826086"/>
    <n v="4"/>
    <n v="35.902439024390247"/>
    <n v="3.347826086956522"/>
    <n v="4928"/>
  </r>
  <r>
    <x v="1"/>
    <x v="1"/>
    <x v="1"/>
    <x v="1"/>
    <d v="2024-02-07T00:00:00"/>
    <n v="4240"/>
    <x v="1"/>
    <x v="1"/>
    <x v="1"/>
    <n v="13"/>
    <n v="6324"/>
    <n v="8.5006957023968918E-2"/>
    <n v="8.3075972822730076E-2"/>
    <n v="4.8327137546468404E-2"/>
    <n v="15.762081784386616"/>
    <n v="326.15384615384613"/>
    <n v="0.49150943396226415"/>
    <n v="2084"/>
  </r>
  <r>
    <x v="2"/>
    <x v="2"/>
    <x v="2"/>
    <x v="2"/>
    <d v="2024-02-06T00:00:00"/>
    <n v="6088"/>
    <x v="2"/>
    <x v="2"/>
    <x v="2"/>
    <n v="25"/>
    <n v="7538"/>
    <n v="2.4343620571691205E-2"/>
    <n v="0.12615318601158548"/>
    <n v="4.2517006802721087E-2"/>
    <n v="10.353741496598639"/>
    <n v="243.52"/>
    <n v="0.23817345597897505"/>
    <n v="1450"/>
  </r>
  <r>
    <x v="3"/>
    <x v="1"/>
    <x v="3"/>
    <x v="3"/>
    <d v="2024-02-11T00:00:00"/>
    <n v="1710"/>
    <x v="3"/>
    <x v="3"/>
    <x v="3"/>
    <n v="40"/>
    <n v="17537"/>
    <n v="8.758227980357329E-2"/>
    <n v="0.10199821055770951"/>
    <n v="5.8479532163742687E-2"/>
    <n v="2.5"/>
    <n v="42.75"/>
    <n v="9.2555555555555564"/>
    <n v="15827"/>
  </r>
  <r>
    <x v="4"/>
    <x v="1"/>
    <x v="0"/>
    <x v="4"/>
    <d v="2024-02-22T00:00:00"/>
    <n v="4435"/>
    <x v="4"/>
    <x v="4"/>
    <x v="4"/>
    <n v="36"/>
    <n v="11622"/>
    <n v="6.2907066321170949E-2"/>
    <n v="9.4628444197049813E-2"/>
    <n v="0.10588235294117647"/>
    <n v="13.044117647058824"/>
    <n v="123.19444444444444"/>
    <n v="1.6205186020293123"/>
    <n v="7187"/>
  </r>
  <r>
    <x v="5"/>
    <x v="1"/>
    <x v="1"/>
    <x v="5"/>
    <d v="2024-03-04T00:00:00"/>
    <n v="4477"/>
    <x v="5"/>
    <x v="5"/>
    <x v="5"/>
    <n v="126"/>
    <n v="38341"/>
    <n v="0.26357219700348983"/>
    <n v="0.1095072175211548"/>
    <n v="0.11454545454545455"/>
    <n v="4.07"/>
    <n v="35.531746031746032"/>
    <n v="7.5639937458119277"/>
    <n v="33864"/>
  </r>
  <r>
    <x v="6"/>
    <x v="0"/>
    <x v="2"/>
    <x v="6"/>
    <d v="2024-03-07T00:00:00"/>
    <n v="689"/>
    <x v="6"/>
    <x v="6"/>
    <x v="6"/>
    <n v="62"/>
    <n v="24389"/>
    <n v="0.24554289309934979"/>
    <n v="0.15176537585421412"/>
    <n v="0.11632270168855535"/>
    <n v="1.2926829268292683"/>
    <n v="11.112903225806452"/>
    <n v="34.397677793904208"/>
    <n v="23700"/>
  </r>
  <r>
    <x v="7"/>
    <x v="1"/>
    <x v="3"/>
    <x v="7"/>
    <d v="2024-03-07T00:00:00"/>
    <n v="4208"/>
    <x v="7"/>
    <x v="7"/>
    <x v="7"/>
    <n v="46"/>
    <n v="11047"/>
    <n v="8.559572871082409E-2"/>
    <n v="8.9179351422898748E-2"/>
    <n v="8.534322820037106E-2"/>
    <n v="7.8070500927643787"/>
    <n v="91.478260869565219"/>
    <n v="1.6252376425855513"/>
    <n v="6839"/>
  </r>
  <r>
    <x v="8"/>
    <x v="1"/>
    <x v="0"/>
    <x v="8"/>
    <d v="2024-03-22T00:00:00"/>
    <n v="2208"/>
    <x v="8"/>
    <x v="8"/>
    <x v="8"/>
    <n v="18"/>
    <n v="5234"/>
    <n v="9.2206919717836747E-2"/>
    <n v="9.0619307832422585E-2"/>
    <n v="9.0452261306532666E-2"/>
    <n v="11.095477386934673"/>
    <n v="122.66666666666667"/>
    <n v="1.3704710144927537"/>
    <n v="3026"/>
  </r>
  <r>
    <x v="9"/>
    <x v="2"/>
    <x v="1"/>
    <x v="9"/>
    <d v="2024-04-01T00:00:00"/>
    <n v="2861"/>
    <x v="9"/>
    <x v="9"/>
    <x v="9"/>
    <n v="78"/>
    <n v="22529"/>
    <n v="4.4918256261579963E-2"/>
    <n v="9.1686257747381913E-2"/>
    <n v="9.0909090909090912E-2"/>
    <n v="3.3344988344988344"/>
    <n v="36.679487179487182"/>
    <n v="6.8745193988116045"/>
    <n v="19668"/>
  </r>
  <r>
    <x v="10"/>
    <x v="0"/>
    <x v="2"/>
    <x v="10"/>
    <d v="2024-03-19T00:00:00"/>
    <n v="1907"/>
    <x v="10"/>
    <x v="10"/>
    <x v="10"/>
    <n v="49"/>
    <n v="22684"/>
    <n v="0.1822786724124896"/>
    <n v="0.1758606387391124"/>
    <n v="0.11556603773584906"/>
    <n v="4.4976415094339623"/>
    <n v="38.918367346938773"/>
    <n v="10.89512323020451"/>
    <n v="20777"/>
  </r>
  <r>
    <x v="11"/>
    <x v="1"/>
    <x v="3"/>
    <x v="11"/>
    <d v="2024-04-05T00:00:00"/>
    <n v="1313"/>
    <x v="11"/>
    <x v="11"/>
    <x v="11"/>
    <n v="31"/>
    <n v="9969"/>
    <n v="9.059571259291177E-2"/>
    <n v="0.13168846611177171"/>
    <n v="6.9977426636568849E-2"/>
    <n v="2.9638826185101581"/>
    <n v="42.354838709677416"/>
    <n v="6.5925361766945922"/>
    <n v="8656"/>
  </r>
  <r>
    <x v="12"/>
    <x v="3"/>
    <x v="0"/>
    <x v="12"/>
    <d v="2024-04-07T00:00:00"/>
    <n v="944"/>
    <x v="12"/>
    <x v="12"/>
    <x v="12"/>
    <n v="37"/>
    <n v="7471"/>
    <n v="0.27473806752037255"/>
    <n v="0.30720338983050849"/>
    <n v="0.25517241379310346"/>
    <n v="6.5103448275862066"/>
    <n v="25.513513513513512"/>
    <n v="6.914194915254237"/>
    <n v="6527"/>
  </r>
  <r>
    <x v="13"/>
    <x v="3"/>
    <x v="1"/>
    <x v="13"/>
    <d v="2024-04-05T00:00:00"/>
    <n v="504"/>
    <x v="13"/>
    <x v="13"/>
    <x v="13"/>
    <n v="94"/>
    <n v="14687"/>
    <n v="0.25834492350486787"/>
    <n v="0.41857335127860029"/>
    <n v="0.30225080385852088"/>
    <n v="1.6205787781350482"/>
    <n v="5.3617021276595747"/>
    <n v="28.140873015873016"/>
    <n v="14183"/>
  </r>
  <r>
    <x v="14"/>
    <x v="2"/>
    <x v="2"/>
    <x v="14"/>
    <d v="2024-04-01T00:00:00"/>
    <n v="2557"/>
    <x v="14"/>
    <x v="14"/>
    <x v="14"/>
    <n v="18"/>
    <n v="6850"/>
    <n v="2.777126843008881E-2"/>
    <n v="6.0788703289133807E-2"/>
    <n v="5.0991501416430593E-2"/>
    <n v="7.2436260623229458"/>
    <n v="142.05555555555554"/>
    <n v="1.6789206100899492"/>
    <n v="4293"/>
  </r>
  <r>
    <x v="15"/>
    <x v="0"/>
    <x v="3"/>
    <x v="15"/>
    <d v="2024-04-07T00:00:00"/>
    <n v="1356"/>
    <x v="15"/>
    <x v="15"/>
    <x v="15"/>
    <n v="21"/>
    <n v="9235"/>
    <n v="0.15547883902314283"/>
    <n v="0.14720394736842105"/>
    <n v="0.11731843575418995"/>
    <n v="7.5754189944134076"/>
    <n v="64.571428571428569"/>
    <n v="5.8104719764011801"/>
    <n v="7879"/>
  </r>
  <r>
    <x v="16"/>
    <x v="1"/>
    <x v="0"/>
    <x v="16"/>
    <d v="2024-04-29T00:00:00"/>
    <n v="2708"/>
    <x v="16"/>
    <x v="16"/>
    <x v="16"/>
    <n v="41"/>
    <n v="13672"/>
    <n v="8.5244205807738727E-2"/>
    <n v="9.6359433689685067E-2"/>
    <n v="6.1469265367316339E-2"/>
    <n v="4.059970014992504"/>
    <n v="66.048780487804876"/>
    <n v="4.0487444608567209"/>
    <n v="10964"/>
  </r>
  <r>
    <x v="17"/>
    <x v="1"/>
    <x v="1"/>
    <x v="17"/>
    <d v="2024-04-28T00:00:00"/>
    <n v="2766"/>
    <x v="17"/>
    <x v="17"/>
    <x v="17"/>
    <n v="50"/>
    <n v="23173"/>
    <n v="6.6271724258391312E-2"/>
    <n v="0.14561827366571492"/>
    <n v="7.5414781297134234E-2"/>
    <n v="4.1719457013574663"/>
    <n v="55.32"/>
    <n v="7.3778018799710772"/>
    <n v="20407"/>
  </r>
  <r>
    <x v="18"/>
    <x v="1"/>
    <x v="2"/>
    <x v="18"/>
    <d v="2024-05-05T00:00:00"/>
    <n v="1629"/>
    <x v="18"/>
    <x v="18"/>
    <x v="18"/>
    <n v="21"/>
    <n v="8152"/>
    <n v="7.4105340429436589E-2"/>
    <n v="0.13670133729569092"/>
    <n v="7.6086956521739135E-2"/>
    <n v="5.9021739130434785"/>
    <n v="77.571428571428569"/>
    <n v="4.004297114794352"/>
    <n v="6523"/>
  </r>
  <r>
    <x v="19"/>
    <x v="2"/>
    <x v="3"/>
    <x v="19"/>
    <d v="2024-04-29T00:00:00"/>
    <n v="7159"/>
    <x v="19"/>
    <x v="19"/>
    <x v="19"/>
    <n v="34"/>
    <n v="11676"/>
    <n v="4.5407433422132375E-2"/>
    <n v="7.4136955291454448E-2"/>
    <n v="8.6513994910941472E-2"/>
    <n v="18.216284987277355"/>
    <n v="210.55882352941177"/>
    <n v="0.63095404386087439"/>
    <n v="4517"/>
  </r>
  <r>
    <x v="20"/>
    <x v="0"/>
    <x v="0"/>
    <x v="20"/>
    <d v="2024-05-25T00:00:00"/>
    <n v="1190"/>
    <x v="20"/>
    <x v="20"/>
    <x v="20"/>
    <n v="45"/>
    <n v="12889"/>
    <n v="0.18280178205218867"/>
    <n v="0.19110251450676982"/>
    <n v="9.1093117408906882E-2"/>
    <n v="2.4089068825910931"/>
    <n v="26.444444444444443"/>
    <n v="9.8310924369747905"/>
    <n v="11699"/>
  </r>
  <r>
    <x v="21"/>
    <x v="2"/>
    <x v="1"/>
    <x v="21"/>
    <d v="2024-05-29T00:00:00"/>
    <n v="9431"/>
    <x v="21"/>
    <x v="21"/>
    <x v="21"/>
    <n v="88"/>
    <n v="19000"/>
    <n v="4.4993006649817188E-2"/>
    <n v="0.11529232111692844"/>
    <n v="8.3254493850520347E-2"/>
    <n v="8.9224219489120156"/>
    <n v="107.17045454545455"/>
    <n v="1.0146325946347152"/>
    <n v="9569"/>
  </r>
  <r>
    <x v="22"/>
    <x v="1"/>
    <x v="2"/>
    <x v="22"/>
    <d v="2024-05-24T00:00:00"/>
    <n v="4518"/>
    <x v="22"/>
    <x v="22"/>
    <x v="22"/>
    <n v="19"/>
    <n v="3002"/>
    <n v="6.1776198934280636E-2"/>
    <n v="0.1305347901092582"/>
    <n v="8.3700440528634359E-2"/>
    <n v="19.903083700440529"/>
    <n v="237.78947368421052"/>
    <n v="-0.33554670208056664"/>
    <n v="-1516"/>
  </r>
  <r>
    <x v="23"/>
    <x v="1"/>
    <x v="3"/>
    <x v="23"/>
    <d v="2024-06-16T00:00:00"/>
    <n v="3626"/>
    <x v="23"/>
    <x v="23"/>
    <x v="23"/>
    <n v="19"/>
    <n v="5401"/>
    <n v="7.532371439141694E-2"/>
    <n v="0.14685658153241651"/>
    <n v="6.354515050167224E-2"/>
    <n v="12.127090301003344"/>
    <n v="190.84210526315789"/>
    <n v="0.48952013237727521"/>
    <n v="1775"/>
  </r>
  <r>
    <x v="24"/>
    <x v="0"/>
    <x v="0"/>
    <x v="24"/>
    <d v="2024-06-22T00:00:00"/>
    <n v="1344"/>
    <x v="24"/>
    <x v="24"/>
    <x v="24"/>
    <n v="33"/>
    <n v="14701"/>
    <n v="0.23160173160173161"/>
    <n v="0.15128504672897197"/>
    <n v="0.12741312741312741"/>
    <n v="5.1891891891891895"/>
    <n v="40.727272727272727"/>
    <n v="9.9382440476190474"/>
    <n v="13357"/>
  </r>
  <r>
    <x v="25"/>
    <x v="1"/>
    <x v="1"/>
    <x v="25"/>
    <d v="2024-06-13T00:00:00"/>
    <n v="1525"/>
    <x v="25"/>
    <x v="25"/>
    <x v="25"/>
    <n v="16"/>
    <n v="3595"/>
    <n v="7.6997366110623355E-2"/>
    <n v="9.1790193842645376E-2"/>
    <n v="9.9378881987577633E-2"/>
    <n v="9.4720496894409933"/>
    <n v="95.3125"/>
    <n v="1.3573770491803279"/>
    <n v="2070"/>
  </r>
  <r>
    <x v="26"/>
    <x v="2"/>
    <x v="2"/>
    <x v="26"/>
    <d v="2024-06-19T00:00:00"/>
    <n v="4682"/>
    <x v="26"/>
    <x v="26"/>
    <x v="26"/>
    <n v="42"/>
    <n v="9383"/>
    <n v="2.7218434177030803E-2"/>
    <n v="0.11085626911314984"/>
    <n v="9.6551724137931033E-2"/>
    <n v="10.763218390804598"/>
    <n v="111.47619047619048"/>
    <n v="1.0040580948312687"/>
    <n v="4701"/>
  </r>
  <r>
    <x v="27"/>
    <x v="1"/>
    <x v="3"/>
    <x v="27"/>
    <d v="2024-06-19T00:00:00"/>
    <n v="1303"/>
    <x v="27"/>
    <x v="27"/>
    <x v="27"/>
    <n v="47"/>
    <n v="9627"/>
    <n v="6.1194204709649702E-2"/>
    <n v="0.14326738991703894"/>
    <n v="0.10467706013363029"/>
    <n v="2.9020044543429844"/>
    <n v="27.723404255319149"/>
    <n v="6.3883346124328471"/>
    <n v="8324"/>
  </r>
  <r>
    <x v="28"/>
    <x v="1"/>
    <x v="0"/>
    <x v="28"/>
    <d v="2024-07-02T00:00:00"/>
    <n v="3533"/>
    <x v="28"/>
    <x v="28"/>
    <x v="28"/>
    <n v="27"/>
    <n v="8490"/>
    <n v="9.2011677282377913E-2"/>
    <n v="0.11710412460340353"/>
    <n v="6.6502463054187194E-2"/>
    <n v="8.7019704433497544"/>
    <n v="130.85185185185185"/>
    <n v="1.4030568921596378"/>
    <n v="4957"/>
  </r>
  <r>
    <x v="29"/>
    <x v="1"/>
    <x v="1"/>
    <x v="29"/>
    <d v="2024-06-29T00:00:00"/>
    <n v="4852"/>
    <x v="29"/>
    <x v="29"/>
    <x v="29"/>
    <n v="97"/>
    <n v="33721"/>
    <n v="8.9823030783720809E-2"/>
    <n v="0.11341059602649006"/>
    <n v="0.11800486618004866"/>
    <n v="5.9026763990267641"/>
    <n v="50.020618556701031"/>
    <n v="5.9499175597691671"/>
    <n v="28869"/>
  </r>
  <r>
    <x v="30"/>
    <x v="0"/>
    <x v="2"/>
    <x v="30"/>
    <d v="2024-07-04T00:00:00"/>
    <n v="831"/>
    <x v="30"/>
    <x v="30"/>
    <x v="30"/>
    <n v="31"/>
    <n v="14398"/>
    <n v="0.17980538711042166"/>
    <n v="0.16549019607843138"/>
    <n v="0.14691943127962084"/>
    <n v="3.9383886255924172"/>
    <n v="26.806451612903224"/>
    <n v="16.326113116726834"/>
    <n v="13567"/>
  </r>
  <r>
    <x v="31"/>
    <x v="1"/>
    <x v="3"/>
    <x v="31"/>
    <d v="2024-07-04T00:00:00"/>
    <n v="4724"/>
    <x v="31"/>
    <x v="31"/>
    <x v="31"/>
    <n v="23"/>
    <n v="11278"/>
    <n v="5.0955515786782563E-2"/>
    <n v="0.11665098777046096"/>
    <n v="6.1827956989247312E-2"/>
    <n v="12.698924731182796"/>
    <n v="205.39130434782609"/>
    <n v="1.3873835732430144"/>
    <n v="6554"/>
  </r>
  <r>
    <x v="32"/>
    <x v="2"/>
    <x v="0"/>
    <x v="32"/>
    <d v="2024-08-01T00:00:00"/>
    <n v="9902"/>
    <x v="32"/>
    <x v="32"/>
    <x v="32"/>
    <n v="72"/>
    <n v="29963"/>
    <n v="4.9520026481297587E-2"/>
    <n v="0.12195484254307784"/>
    <n v="8.76979293544458E-2"/>
    <n v="12.060901339829476"/>
    <n v="137.52777777777777"/>
    <n v="2.0259543526560293"/>
    <n v="20061"/>
  </r>
  <r>
    <x v="33"/>
    <x v="2"/>
    <x v="1"/>
    <x v="33"/>
    <d v="2024-08-04T00:00:00"/>
    <n v="2256"/>
    <x v="33"/>
    <x v="33"/>
    <x v="33"/>
    <n v="46"/>
    <n v="17780"/>
    <n v="3.1544087391656379E-2"/>
    <n v="0.12476330738480959"/>
    <n v="7.7571669477234401E-2"/>
    <n v="3.8043844856661044"/>
    <n v="49.043478260869563"/>
    <n v="6.8812056737588652"/>
    <n v="15524"/>
  </r>
  <r>
    <x v="34"/>
    <x v="0"/>
    <x v="2"/>
    <x v="34"/>
    <d v="2024-08-15T00:00:00"/>
    <n v="1274"/>
    <x v="34"/>
    <x v="34"/>
    <x v="34"/>
    <n v="40"/>
    <n v="9060"/>
    <n v="0.15340768277571251"/>
    <n v="0.14431879375336565"/>
    <n v="0.14925373134328357"/>
    <n v="4.7537313432835822"/>
    <n v="31.85"/>
    <n v="6.1114599686028255"/>
    <n v="7786"/>
  </r>
  <r>
    <x v="35"/>
    <x v="1"/>
    <x v="3"/>
    <x v="35"/>
    <d v="2024-08-04T00:00:00"/>
    <n v="3354"/>
    <x v="35"/>
    <x v="35"/>
    <x v="35"/>
    <n v="37"/>
    <n v="11793"/>
    <n v="7.4805945918522646E-2"/>
    <n v="0.12207527975584945"/>
    <n v="0.10277777777777777"/>
    <n v="9.3166666666666664"/>
    <n v="90.648648648648646"/>
    <n v="2.5161001788908766"/>
    <n v="8439"/>
  </r>
  <r>
    <x v="36"/>
    <x v="3"/>
    <x v="0"/>
    <x v="36"/>
    <d v="2024-08-01T00:00:00"/>
    <n v="837"/>
    <x v="36"/>
    <x v="36"/>
    <x v="36"/>
    <n v="82"/>
    <n v="24082"/>
    <n v="0.25760974046779878"/>
    <n v="0.4962686567164179"/>
    <n v="0.20551378446115287"/>
    <n v="2.0977443609022557"/>
    <n v="10.207317073170731"/>
    <n v="27.771804062126641"/>
    <n v="23245"/>
  </r>
  <r>
    <x v="37"/>
    <x v="3"/>
    <x v="1"/>
    <x v="37"/>
    <d v="2024-08-13T00:00:00"/>
    <n v="498"/>
    <x v="37"/>
    <x v="37"/>
    <x v="37"/>
    <n v="70"/>
    <n v="31041"/>
    <n v="0.25311942959001782"/>
    <n v="0.37183098591549296"/>
    <n v="0.26515151515151514"/>
    <n v="1.8863636363636365"/>
    <n v="7.1142857142857139"/>
    <n v="61.331325301204821"/>
    <n v="30543"/>
  </r>
  <r>
    <x v="38"/>
    <x v="2"/>
    <x v="2"/>
    <x v="38"/>
    <d v="2024-09-03T00:00:00"/>
    <n v="7991"/>
    <x v="38"/>
    <x v="38"/>
    <x v="38"/>
    <n v="19"/>
    <n v="7923"/>
    <n v="2.3007727920854825E-2"/>
    <n v="9.2068349910737063E-2"/>
    <n v="5.2631578947368418E-2"/>
    <n v="22.13573407202216"/>
    <n v="420.57894736842104"/>
    <n v="-8.5095732699286691E-3"/>
    <n v="-68"/>
  </r>
  <r>
    <x v="39"/>
    <x v="0"/>
    <x v="3"/>
    <x v="39"/>
    <d v="2024-09-14T00:00:00"/>
    <n v="1306"/>
    <x v="39"/>
    <x v="39"/>
    <x v="39"/>
    <n v="52"/>
    <n v="22439"/>
    <n v="0.19959507339294752"/>
    <n v="0.17624683009298395"/>
    <n v="0.12470023980815348"/>
    <n v="3.1318944844124701"/>
    <n v="25.115384615384617"/>
    <n v="16.181470137825421"/>
    <n v="21133"/>
  </r>
  <r>
    <x v="40"/>
    <x v="2"/>
    <x v="0"/>
    <x v="40"/>
    <d v="2024-08-25T00:00:00"/>
    <n v="4119"/>
    <x v="40"/>
    <x v="40"/>
    <x v="40"/>
    <n v="52"/>
    <n v="17310"/>
    <n v="3.9338081690308974E-2"/>
    <n v="8.9897585029712984E-2"/>
    <n v="7.3136427566807313E-2"/>
    <n v="5.7932489451476794"/>
    <n v="79.211538461538467"/>
    <n v="3.2024763292061178"/>
    <n v="13191"/>
  </r>
  <r>
    <x v="41"/>
    <x v="1"/>
    <x v="1"/>
    <x v="41"/>
    <d v="2024-09-21T00:00:00"/>
    <n v="4077"/>
    <x v="41"/>
    <x v="41"/>
    <x v="41"/>
    <n v="17"/>
    <n v="7567"/>
    <n v="5.7275094012149259E-2"/>
    <n v="0.11363636363636363"/>
    <n v="0.12592592592592591"/>
    <n v="30.2"/>
    <n v="239.8235294117647"/>
    <n v="0.85602158449840571"/>
    <n v="3490"/>
  </r>
  <r>
    <x v="42"/>
    <x v="2"/>
    <x v="2"/>
    <x v="42"/>
    <d v="2024-09-21T00:00:00"/>
    <n v="9207"/>
    <x v="42"/>
    <x v="42"/>
    <x v="42"/>
    <n v="37"/>
    <n v="5779"/>
    <n v="2.7319834688322376E-2"/>
    <n v="0.10824230387288977"/>
    <n v="5.657492354740061E-2"/>
    <n v="14.077981651376147"/>
    <n v="248.83783783783784"/>
    <n v="-0.37232540458346908"/>
    <n v="-3428"/>
  </r>
  <r>
    <x v="43"/>
    <x v="1"/>
    <x v="3"/>
    <x v="43"/>
    <d v="2024-09-30T00:00:00"/>
    <n v="3540"/>
    <x v="43"/>
    <x v="43"/>
    <x v="43"/>
    <n v="27"/>
    <n v="7574"/>
    <n v="9.0944574551131932E-2"/>
    <n v="0.13700891383294816"/>
    <n v="6.5060240963855417E-2"/>
    <n v="8.5301204819277103"/>
    <n v="131.11111111111111"/>
    <n v="1.1395480225988701"/>
    <n v="4034"/>
  </r>
  <r>
    <x v="44"/>
    <x v="0"/>
    <x v="0"/>
    <x v="44"/>
    <d v="2024-09-25T00:00:00"/>
    <n v="1869"/>
    <x v="44"/>
    <x v="44"/>
    <x v="44"/>
    <n v="40"/>
    <n v="7803"/>
    <n v="0.20276541339141965"/>
    <n v="0.17561886968706211"/>
    <n v="0.10638297872340426"/>
    <n v="4.9707446808510642"/>
    <n v="46.725000000000001"/>
    <n v="3.1749598715890852"/>
    <n v="5934"/>
  </r>
  <r>
    <x v="45"/>
    <x v="1"/>
    <x v="1"/>
    <x v="45"/>
    <d v="2024-10-07T00:00:00"/>
    <n v="2458"/>
    <x v="45"/>
    <x v="45"/>
    <x v="45"/>
    <n v="74"/>
    <n v="13692"/>
    <n v="9.8488922053836955E-2"/>
    <n v="9.8830083565459609E-2"/>
    <n v="8.3427282976324693E-2"/>
    <n v="2.7711386696730553"/>
    <n v="33.216216216216218"/>
    <n v="4.5703824247355573"/>
    <n v="11234"/>
  </r>
  <r>
    <x v="46"/>
    <x v="1"/>
    <x v="2"/>
    <x v="46"/>
    <d v="2024-10-22T00:00:00"/>
    <n v="4010"/>
    <x v="46"/>
    <x v="46"/>
    <x v="46"/>
    <n v="95"/>
    <n v="44495"/>
    <n v="8.3800562823569846E-2"/>
    <n v="0.10984362983850295"/>
    <n v="0.11085180863477247"/>
    <n v="4.6791131855309223"/>
    <n v="42.210526315789473"/>
    <n v="10.096009975062344"/>
    <n v="40485"/>
  </r>
  <r>
    <x v="47"/>
    <x v="1"/>
    <x v="3"/>
    <x v="47"/>
    <d v="2024-10-01T00:00:00"/>
    <n v="4380"/>
    <x v="47"/>
    <x v="47"/>
    <x v="47"/>
    <n v="37"/>
    <n v="17067"/>
    <n v="5.2670623145400594E-2"/>
    <n v="0.12143974960876369"/>
    <n v="9.5360824742268036E-2"/>
    <n v="11.288659793814434"/>
    <n v="118.37837837837837"/>
    <n v="2.8965753424657534"/>
    <n v="12687"/>
  </r>
  <r>
    <x v="48"/>
    <x v="0"/>
    <x v="0"/>
    <x v="48"/>
    <d v="2024-10-18T00:00:00"/>
    <n v="1576"/>
    <x v="48"/>
    <x v="48"/>
    <x v="35"/>
    <n v="33"/>
    <n v="15508"/>
    <n v="0.22884549503254539"/>
    <n v="0.17964071856287425"/>
    <n v="9.166666666666666E-2"/>
    <n v="4.3777777777777782"/>
    <n v="47.757575757575758"/>
    <n v="8.8401015228426392"/>
    <n v="13932"/>
  </r>
  <r>
    <x v="49"/>
    <x v="1"/>
    <x v="1"/>
    <x v="49"/>
    <d v="2024-10-12T00:00:00"/>
    <n v="4975"/>
    <x v="49"/>
    <x v="49"/>
    <x v="48"/>
    <n v="37"/>
    <n v="5558"/>
    <n v="8.0271683429742738E-2"/>
    <n v="0.12746158840077906"/>
    <n v="6.2818336162988112E-2"/>
    <n v="8.4465195246179974"/>
    <n v="134.45945945945945"/>
    <n v="0.1171859296482412"/>
    <n v="583"/>
  </r>
  <r>
    <x v="50"/>
    <x v="2"/>
    <x v="2"/>
    <x v="50"/>
    <d v="2024-11-12T00:00:00"/>
    <n v="9574"/>
    <x v="50"/>
    <x v="50"/>
    <x v="49"/>
    <n v="5"/>
    <n v="754"/>
    <n v="2.4271773208319226E-2"/>
    <n v="9.0964220739842325E-2"/>
    <n v="3.3333333333333333E-2"/>
    <n v="63.826666666666668"/>
    <n v="1914.8"/>
    <n v="-0.92124503864633378"/>
    <n v="-8820"/>
  </r>
  <r>
    <x v="51"/>
    <x v="1"/>
    <x v="3"/>
    <x v="51"/>
    <d v="2024-11-09T00:00:00"/>
    <n v="1976"/>
    <x v="51"/>
    <x v="51"/>
    <x v="50"/>
    <n v="24"/>
    <n v="8749"/>
    <n v="5.2705583526103328E-2"/>
    <n v="0.12736660929432014"/>
    <n v="8.1081081081081086E-2"/>
    <n v="6.6756756756756754"/>
    <n v="82.333333333333329"/>
    <n v="3.4276315789473686"/>
    <n v="67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662AED-6F86-4DE0-B5A0-DA7799955A3E}"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C88" firstHeaderRow="0" firstDataRow="1" firstDataCol="0"/>
  <pivotFields count="18">
    <pivotField showAll="0"/>
    <pivotField showAll="0"/>
    <pivotField showAll="0"/>
    <pivotField numFmtId="14" showAll="0"/>
    <pivotField numFmtId="14" showAll="0"/>
    <pivotField showAll="0"/>
    <pivotField showAll="0">
      <items count="53">
        <item x="12"/>
        <item x="37"/>
        <item x="13"/>
        <item x="36"/>
        <item x="30"/>
        <item x="24"/>
        <item x="15"/>
        <item x="48"/>
        <item x="44"/>
        <item x="39"/>
        <item x="0"/>
        <item x="34"/>
        <item x="10"/>
        <item x="20"/>
        <item x="6"/>
        <item x="41"/>
        <item x="25"/>
        <item x="8"/>
        <item x="23"/>
        <item x="18"/>
        <item x="22"/>
        <item x="43"/>
        <item x="11"/>
        <item x="28"/>
        <item x="1"/>
        <item x="5"/>
        <item x="35"/>
        <item x="51"/>
        <item x="27"/>
        <item x="4"/>
        <item x="49"/>
        <item x="47"/>
        <item x="31"/>
        <item x="50"/>
        <item x="17"/>
        <item x="7"/>
        <item x="3"/>
        <item x="29"/>
        <item x="16"/>
        <item x="45"/>
        <item x="46"/>
        <item x="19"/>
        <item x="32"/>
        <item x="26"/>
        <item x="33"/>
        <item x="38"/>
        <item x="2"/>
        <item x="40"/>
        <item x="21"/>
        <item x="9"/>
        <item x="14"/>
        <item x="42"/>
        <item t="default"/>
      </items>
    </pivotField>
    <pivotField dataField="1" showAll="0">
      <items count="53">
        <item x="12"/>
        <item x="37"/>
        <item x="13"/>
        <item x="36"/>
        <item x="41"/>
        <item x="15"/>
        <item x="30"/>
        <item x="50"/>
        <item x="24"/>
        <item x="22"/>
        <item x="25"/>
        <item x="34"/>
        <item x="48"/>
        <item x="18"/>
        <item x="23"/>
        <item x="44"/>
        <item x="8"/>
        <item x="51"/>
        <item x="39"/>
        <item x="10"/>
        <item x="20"/>
        <item x="0"/>
        <item x="35"/>
        <item x="43"/>
        <item x="27"/>
        <item x="31"/>
        <item x="47"/>
        <item x="1"/>
        <item x="11"/>
        <item x="28"/>
        <item x="6"/>
        <item x="4"/>
        <item x="38"/>
        <item x="26"/>
        <item x="17"/>
        <item x="49"/>
        <item x="2"/>
        <item x="33"/>
        <item x="19"/>
        <item x="14"/>
        <item x="42"/>
        <item x="7"/>
        <item x="3"/>
        <item x="32"/>
        <item x="16"/>
        <item x="29"/>
        <item x="46"/>
        <item x="40"/>
        <item x="45"/>
        <item x="21"/>
        <item x="9"/>
        <item x="5"/>
        <item t="default"/>
      </items>
    </pivotField>
    <pivotField dataField="1" showAll="0">
      <items count="52">
        <item x="41"/>
        <item x="12"/>
        <item x="49"/>
        <item x="25"/>
        <item x="15"/>
        <item x="8"/>
        <item x="30"/>
        <item x="22"/>
        <item x="24"/>
        <item x="37"/>
        <item x="34"/>
        <item x="1"/>
        <item x="18"/>
        <item x="50"/>
        <item x="23"/>
        <item x="13"/>
        <item x="4"/>
        <item x="14"/>
        <item x="35"/>
        <item x="38"/>
        <item x="0"/>
        <item x="31"/>
        <item x="44"/>
        <item x="47"/>
        <item x="19"/>
        <item x="36"/>
        <item x="28"/>
        <item x="43"/>
        <item x="39"/>
        <item x="10"/>
        <item x="26"/>
        <item x="11"/>
        <item x="27"/>
        <item x="20"/>
        <item x="6"/>
        <item x="7"/>
        <item x="2"/>
        <item x="48"/>
        <item x="33"/>
        <item x="42"/>
        <item x="17"/>
        <item x="16"/>
        <item x="3"/>
        <item x="40"/>
        <item x="32"/>
        <item x="29"/>
        <item x="46"/>
        <item x="9"/>
        <item x="45"/>
        <item x="21"/>
        <item x="5"/>
        <item t="default"/>
      </items>
    </pivotField>
    <pivotField dataField="1"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Clicks" fld="7" baseField="0" baseItem="0"/>
    <dataField name="Sum of Leads" fld="8" baseField="0" baseItem="0"/>
    <dataField name="Sum of Conversion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04F979-D234-4D9A-933F-E825336F6A24}"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D85" firstHeaderRow="0" firstDataRow="1" firstDataCol="0"/>
  <pivotFields count="18">
    <pivotField showAll="0"/>
    <pivotField showAll="0"/>
    <pivotField showAll="0"/>
    <pivotField numFmtId="14" showAll="0"/>
    <pivotField numFmtId="14" showAll="0"/>
    <pivotField showAll="0"/>
    <pivotField dataField="1" showAll="0">
      <items count="53">
        <item x="12"/>
        <item x="37"/>
        <item x="13"/>
        <item x="36"/>
        <item x="30"/>
        <item x="24"/>
        <item x="15"/>
        <item x="48"/>
        <item x="44"/>
        <item x="39"/>
        <item x="0"/>
        <item x="34"/>
        <item x="10"/>
        <item x="20"/>
        <item x="6"/>
        <item x="41"/>
        <item x="25"/>
        <item x="8"/>
        <item x="23"/>
        <item x="18"/>
        <item x="22"/>
        <item x="43"/>
        <item x="11"/>
        <item x="28"/>
        <item x="1"/>
        <item x="5"/>
        <item x="35"/>
        <item x="51"/>
        <item x="27"/>
        <item x="4"/>
        <item x="49"/>
        <item x="47"/>
        <item x="31"/>
        <item x="50"/>
        <item x="17"/>
        <item x="7"/>
        <item x="3"/>
        <item x="29"/>
        <item x="16"/>
        <item x="45"/>
        <item x="46"/>
        <item x="19"/>
        <item x="32"/>
        <item x="26"/>
        <item x="33"/>
        <item x="38"/>
        <item x="2"/>
        <item x="40"/>
        <item x="21"/>
        <item x="9"/>
        <item x="14"/>
        <item x="42"/>
        <item t="default"/>
      </items>
    </pivotField>
    <pivotField dataField="1" showAll="0">
      <items count="53">
        <item x="12"/>
        <item x="37"/>
        <item x="13"/>
        <item x="36"/>
        <item x="41"/>
        <item x="15"/>
        <item x="30"/>
        <item x="50"/>
        <item x="24"/>
        <item x="22"/>
        <item x="25"/>
        <item x="34"/>
        <item x="48"/>
        <item x="18"/>
        <item x="23"/>
        <item x="44"/>
        <item x="8"/>
        <item x="51"/>
        <item x="39"/>
        <item x="10"/>
        <item x="20"/>
        <item x="0"/>
        <item x="35"/>
        <item x="43"/>
        <item x="27"/>
        <item x="31"/>
        <item x="47"/>
        <item x="1"/>
        <item x="11"/>
        <item x="28"/>
        <item x="6"/>
        <item x="4"/>
        <item x="38"/>
        <item x="26"/>
        <item x="17"/>
        <item x="49"/>
        <item x="2"/>
        <item x="33"/>
        <item x="19"/>
        <item x="14"/>
        <item x="42"/>
        <item x="7"/>
        <item x="3"/>
        <item x="32"/>
        <item x="16"/>
        <item x="29"/>
        <item x="46"/>
        <item x="40"/>
        <item x="45"/>
        <item x="21"/>
        <item x="9"/>
        <item x="5"/>
        <item t="default"/>
      </items>
    </pivotField>
    <pivotField dataField="1" showAll="0">
      <items count="52">
        <item x="41"/>
        <item x="12"/>
        <item x="49"/>
        <item x="25"/>
        <item x="15"/>
        <item x="8"/>
        <item x="30"/>
        <item x="22"/>
        <item x="24"/>
        <item x="37"/>
        <item x="34"/>
        <item x="1"/>
        <item x="18"/>
        <item x="50"/>
        <item x="23"/>
        <item x="13"/>
        <item x="4"/>
        <item x="14"/>
        <item x="35"/>
        <item x="38"/>
        <item x="0"/>
        <item x="31"/>
        <item x="44"/>
        <item x="47"/>
        <item x="19"/>
        <item x="36"/>
        <item x="28"/>
        <item x="43"/>
        <item x="39"/>
        <item x="10"/>
        <item x="26"/>
        <item x="11"/>
        <item x="27"/>
        <item x="20"/>
        <item x="6"/>
        <item x="7"/>
        <item x="2"/>
        <item x="48"/>
        <item x="33"/>
        <item x="42"/>
        <item x="17"/>
        <item x="16"/>
        <item x="3"/>
        <item x="40"/>
        <item x="32"/>
        <item x="29"/>
        <item x="46"/>
        <item x="9"/>
        <item x="45"/>
        <item x="21"/>
        <item x="5"/>
        <item t="default"/>
      </items>
    </pivotField>
    <pivotField dataField="1"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Impressions" fld="6" baseField="0" baseItem="0"/>
    <dataField name="Sum of Clicks" fld="7" baseField="0" baseItem="0"/>
    <dataField name="Sum of Leads" fld="8" baseField="0" baseItem="0"/>
    <dataField name="Sum of Conversion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A5336-6AC5-4939-B69E-B013B284A371}"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2:B80" firstHeaderRow="1" firstDataRow="1" firstDataCol="1"/>
  <pivotFields count="18">
    <pivotField showAll="0">
      <items count="53">
        <item x="13"/>
        <item x="37"/>
        <item x="14"/>
        <item x="44"/>
        <item x="20"/>
        <item x="39"/>
        <item x="6"/>
        <item x="34"/>
        <item x="10"/>
        <item x="30"/>
        <item x="15"/>
        <item x="51"/>
        <item x="16"/>
        <item x="27"/>
        <item x="3"/>
        <item x="40"/>
        <item x="49"/>
        <item x="2"/>
        <item x="26"/>
        <item x="50"/>
        <item x="9"/>
        <item x="33"/>
        <item x="19"/>
        <item x="43"/>
        <item x="5"/>
        <item x="29"/>
        <item x="42"/>
        <item x="18"/>
        <item x="4"/>
        <item x="28"/>
        <item x="41"/>
        <item x="17"/>
        <item x="38"/>
        <item x="46"/>
        <item x="22"/>
        <item x="0"/>
        <item x="24"/>
        <item x="48"/>
        <item x="47"/>
        <item x="23"/>
        <item x="36"/>
        <item x="12"/>
        <item x="21"/>
        <item x="45"/>
        <item x="1"/>
        <item x="25"/>
        <item x="11"/>
        <item x="35"/>
        <item x="32"/>
        <item x="8"/>
        <item x="31"/>
        <item x="7"/>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2"/>
    <field x="1"/>
  </rowFields>
  <rowItems count="18">
    <i>
      <x v="1"/>
    </i>
    <i r="1">
      <x v="3"/>
    </i>
    <i r="1">
      <x v="1"/>
    </i>
    <i r="1">
      <x v="2"/>
    </i>
    <i>
      <x v="3"/>
    </i>
    <i r="1">
      <x/>
    </i>
    <i r="1">
      <x v="1"/>
    </i>
    <i r="1">
      <x v="3"/>
    </i>
    <i r="1">
      <x v="2"/>
    </i>
    <i>
      <x/>
    </i>
    <i r="1">
      <x/>
    </i>
    <i r="1">
      <x v="1"/>
    </i>
    <i r="1">
      <x v="3"/>
    </i>
    <i>
      <x v="2"/>
    </i>
    <i r="1">
      <x v="3"/>
    </i>
    <i r="1">
      <x/>
    </i>
    <i r="1">
      <x v="1"/>
    </i>
    <i t="grand">
      <x/>
    </i>
  </rowItems>
  <colItems count="1">
    <i/>
  </colItems>
  <dataFields count="1">
    <dataField name="Sum of Conversions" fld="9" baseField="0" baseItem="0"/>
  </dataFields>
  <chartFormats count="12">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 count="1" selected="0">
            <x v="2"/>
          </reference>
          <reference field="2" count="1" selected="0">
            <x v="1"/>
          </reference>
        </references>
      </pivotArea>
    </chartFormat>
    <chartFormat chart="3" format="4">
      <pivotArea type="data" outline="0" fieldPosition="0">
        <references count="3">
          <reference field="4294967294" count="1" selected="0">
            <x v="0"/>
          </reference>
          <reference field="1" count="1" selected="0">
            <x v="2"/>
          </reference>
          <reference field="2" count="1" selected="0">
            <x v="3"/>
          </reference>
        </references>
      </pivotArea>
    </chartFormat>
    <chartFormat chart="3" format="5">
      <pivotArea type="data" outline="0" fieldPosition="0">
        <references count="3">
          <reference field="4294967294" count="1" selected="0">
            <x v="0"/>
          </reference>
          <reference field="1" count="1" selected="0">
            <x v="3"/>
          </reference>
          <reference field="2" count="1" selected="0">
            <x v="1"/>
          </reference>
        </references>
      </pivotArea>
    </chartFormat>
    <chartFormat chart="3" format="6">
      <pivotArea type="data" outline="0" fieldPosition="0">
        <references count="3">
          <reference field="4294967294" count="1" selected="0">
            <x v="0"/>
          </reference>
          <reference field="1" count="1" selected="0">
            <x v="3"/>
          </reference>
          <reference field="2" count="1" selected="0">
            <x v="2"/>
          </reference>
        </references>
      </pivotArea>
    </chartFormat>
    <chartFormat chart="3" format="7">
      <pivotArea type="data" outline="0" fieldPosition="0">
        <references count="3">
          <reference field="4294967294" count="1" selected="0">
            <x v="0"/>
          </reference>
          <reference field="1" count="1" selected="0">
            <x v="3"/>
          </reference>
          <reference field="2" count="1" selected="0">
            <x v="0"/>
          </reference>
        </references>
      </pivotArea>
    </chartFormat>
    <chartFormat chart="3" format="8">
      <pivotArea type="data" outline="0" fieldPosition="0">
        <references count="3">
          <reference field="4294967294" count="1" selected="0">
            <x v="0"/>
          </reference>
          <reference field="1" count="1" selected="0">
            <x v="3"/>
          </reference>
          <reference field="2" count="1" selected="0">
            <x v="3"/>
          </reference>
        </references>
      </pivotArea>
    </chartFormat>
    <chartFormat chart="3" format="9">
      <pivotArea type="data" outline="0" fieldPosition="0">
        <references count="3">
          <reference field="4294967294" count="1" selected="0">
            <x v="0"/>
          </reference>
          <reference field="1" count="1" selected="0">
            <x v="1"/>
          </reference>
          <reference field="2" count="1" selected="0">
            <x v="1"/>
          </reference>
        </references>
      </pivotArea>
    </chartFormat>
    <chartFormat chart="3" format="10">
      <pivotArea type="data" outline="0" fieldPosition="0">
        <references count="3">
          <reference field="4294967294" count="1" selected="0">
            <x v="0"/>
          </reference>
          <reference field="1" count="1" selected="0">
            <x v="1"/>
          </reference>
          <reference field="2" count="1" selected="0">
            <x v="3"/>
          </reference>
        </references>
      </pivotArea>
    </chartFormat>
    <chartFormat chart="3" format="11">
      <pivotArea type="data" outline="0" fieldPosition="0">
        <references count="3">
          <reference field="4294967294" count="1" selected="0">
            <x v="0"/>
          </reference>
          <reference field="1" count="1" selected="0">
            <x v="1"/>
          </reference>
          <reference field="2" count="1" selected="0">
            <x v="0"/>
          </reference>
        </references>
      </pivotArea>
    </chartFormat>
    <chartFormat chart="3" format="12">
      <pivotArea type="data" outline="0" fieldPosition="0">
        <references count="3">
          <reference field="4294967294" count="1" selected="0">
            <x v="0"/>
          </reference>
          <reference field="1"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2FD45E-0E0F-4E2F-B569-92E3B48A975D}"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21" firstHeaderRow="1" firstDataRow="1" firstDataCol="1"/>
  <pivotFields count="18">
    <pivotField axis="axisRow" showAll="0" measureFilter="1" sortType="ascending">
      <items count="53">
        <item x="13"/>
        <item x="37"/>
        <item x="14"/>
        <item x="44"/>
        <item x="20"/>
        <item x="39"/>
        <item x="6"/>
        <item x="34"/>
        <item x="10"/>
        <item x="30"/>
        <item x="15"/>
        <item x="51"/>
        <item x="16"/>
        <item x="27"/>
        <item x="3"/>
        <item x="40"/>
        <item x="49"/>
        <item x="2"/>
        <item x="26"/>
        <item x="50"/>
        <item x="9"/>
        <item x="33"/>
        <item x="19"/>
        <item x="43"/>
        <item x="5"/>
        <item x="29"/>
        <item x="42"/>
        <item x="18"/>
        <item x="4"/>
        <item x="28"/>
        <item x="41"/>
        <item x="17"/>
        <item x="38"/>
        <item x="46"/>
        <item x="22"/>
        <item x="0"/>
        <item x="24"/>
        <item x="48"/>
        <item x="47"/>
        <item x="23"/>
        <item x="36"/>
        <item x="12"/>
        <item x="21"/>
        <item x="45"/>
        <item x="1"/>
        <item x="25"/>
        <item x="11"/>
        <item x="35"/>
        <item x="32"/>
        <item x="8"/>
        <item x="31"/>
        <item x="7"/>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5">
        <item x="2"/>
        <item x="1"/>
        <item x="3"/>
        <item x="0"/>
        <item t="default"/>
      </items>
    </pivotField>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6">
    <i>
      <x v="9"/>
    </i>
    <i>
      <x v="40"/>
    </i>
    <i>
      <x/>
    </i>
    <i>
      <x v="6"/>
    </i>
    <i>
      <x v="1"/>
    </i>
    <i t="grand">
      <x/>
    </i>
  </rowItems>
  <colItems count="1">
    <i/>
  </colItems>
  <dataFields count="1">
    <dataField name="Average of ROI % (Return on Investment)" fld="16" subtotal="average" baseField="0" baseItem="0"/>
  </dataFields>
  <chartFormats count="3">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9D92E7-A4A5-4DBD-B5BA-38DF9757B81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D9" firstHeaderRow="0" firstDataRow="1" firstDataCol="1"/>
  <pivotFields count="18">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4" showAll="0"/>
    <pivotField dataField="1"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s>
  <rowFields count="1">
    <field x="1"/>
  </rowFields>
  <rowItems count="5">
    <i>
      <x v="2"/>
    </i>
    <i>
      <x v="1"/>
    </i>
    <i>
      <x/>
    </i>
    <i>
      <x v="3"/>
    </i>
    <i t="grand">
      <x/>
    </i>
  </rowItems>
  <colFields count="1">
    <field x="-2"/>
  </colFields>
  <colItems count="3">
    <i>
      <x/>
    </i>
    <i i="1">
      <x v="1"/>
    </i>
    <i i="2">
      <x v="2"/>
    </i>
  </colItems>
  <dataFields count="3">
    <dataField name="Sum of Revenue" fld="10" baseField="0" baseItem="0"/>
    <dataField name="Sum of Spend" fld="5" baseField="0" baseItem="0"/>
    <dataField name="Average of ROI % (Return on Investment)" fld="16" subtotal="average" baseField="1" baseItem="0"/>
  </dataFields>
  <chartFormats count="10">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2"/>
          </reference>
        </references>
      </pivotArea>
    </chartFormat>
    <chartFormat chart="25" format="15">
      <pivotArea type="data" outline="0" fieldPosition="0">
        <references count="2">
          <reference field="4294967294" count="1" selected="0">
            <x v="2"/>
          </reference>
          <reference field="1" count="1" selected="0">
            <x v="0"/>
          </reference>
        </references>
      </pivotArea>
    </chartFormat>
    <chartFormat chart="25" format="16">
      <pivotArea type="data" outline="0" fieldPosition="0">
        <references count="2">
          <reference field="4294967294" count="1" selected="0">
            <x v="2"/>
          </reference>
          <reference field="1" count="1" selected="0">
            <x v="1"/>
          </reference>
        </references>
      </pivotArea>
    </chartFormat>
    <chartFormat chart="25" format="17">
      <pivotArea type="data" outline="0" fieldPosition="0">
        <references count="2">
          <reference field="4294967294" count="1" selected="0">
            <x v="2"/>
          </reference>
          <reference field="1" count="1" selected="0">
            <x v="2"/>
          </reference>
        </references>
      </pivotArea>
    </chartFormat>
    <chartFormat chart="25" format="18">
      <pivotArea type="data" outline="0" fieldPosition="0">
        <references count="2">
          <reference field="4294967294" count="1" selected="0">
            <x v="2"/>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A21807-D9CC-4457-AE4B-C1641167DB64}"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5:B31" firstHeaderRow="1" firstDataRow="1" firstDataCol="1"/>
  <pivotFields count="18">
    <pivotField axis="axisRow" showAll="0" measureFilter="1" sortType="ascending">
      <items count="53">
        <item x="13"/>
        <item x="37"/>
        <item x="14"/>
        <item x="44"/>
        <item x="20"/>
        <item x="39"/>
        <item x="6"/>
        <item x="34"/>
        <item x="10"/>
        <item x="30"/>
        <item x="15"/>
        <item x="51"/>
        <item x="16"/>
        <item x="27"/>
        <item x="3"/>
        <item x="40"/>
        <item x="49"/>
        <item x="2"/>
        <item x="26"/>
        <item x="50"/>
        <item x="9"/>
        <item x="33"/>
        <item x="19"/>
        <item x="43"/>
        <item x="5"/>
        <item x="29"/>
        <item x="42"/>
        <item x="18"/>
        <item x="4"/>
        <item x="28"/>
        <item x="41"/>
        <item x="17"/>
        <item x="38"/>
        <item x="46"/>
        <item x="22"/>
        <item x="0"/>
        <item x="24"/>
        <item x="48"/>
        <item x="47"/>
        <item x="23"/>
        <item x="36"/>
        <item x="12"/>
        <item x="21"/>
        <item x="45"/>
        <item x="1"/>
        <item x="25"/>
        <item x="11"/>
        <item x="35"/>
        <item x="32"/>
        <item x="8"/>
        <item x="31"/>
        <item x="7"/>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5">
        <item x="2"/>
        <item x="1"/>
        <item x="3"/>
        <item x="0"/>
        <item t="default"/>
      </items>
    </pivotField>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6">
    <i>
      <x v="19"/>
    </i>
    <i>
      <x v="26"/>
    </i>
    <i>
      <x v="34"/>
    </i>
    <i>
      <x v="32"/>
    </i>
    <i>
      <x v="16"/>
    </i>
    <i t="grand">
      <x/>
    </i>
  </rowItems>
  <colItems count="1">
    <i/>
  </colItems>
  <dataFields count="1">
    <dataField name="Average of ROI % (Return on Investment)" fld="16" subtotal="average" baseField="0" baseItem="0"/>
  </dataFields>
  <chartFormats count="8">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84A6F9-8482-4FAB-B104-642A52622DC9}"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B49" firstHeaderRow="1" firstDataRow="1" firstDataCol="1"/>
  <pivotFields count="18">
    <pivotField showAll="0"/>
    <pivotField showAll="0">
      <items count="5">
        <item x="0"/>
        <item x="2"/>
        <item x="3"/>
        <item x="1"/>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5">
    <i>
      <x v="1"/>
    </i>
    <i>
      <x v="3"/>
    </i>
    <i>
      <x/>
    </i>
    <i>
      <x v="2"/>
    </i>
    <i t="grand">
      <x/>
    </i>
  </rowItems>
  <colItems count="1">
    <i/>
  </colItems>
  <dataFields count="1">
    <dataField name="Average of ROI % (Return on Investment)" fld="16" subtotal="average" baseField="2"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1CE864-47BB-48BC-AB9F-DFE56AF33FDE}" autoFormatId="16" applyNumberFormats="0" applyBorderFormats="0" applyFontFormats="0" applyPatternFormats="0" applyAlignmentFormats="0" applyWidthHeightFormats="0">
  <queryTableRefresh nextId="19" unboundColumnsRight="7">
    <queryTableFields count="18">
      <queryTableField id="1" name="Campaign Name" tableColumnId="1"/>
      <queryTableField id="2" name="Channel" tableColumnId="2"/>
      <queryTableField id="3" name="Region" tableColumnId="3"/>
      <queryTableField id="4" name="Start Date" tableColumnId="4"/>
      <queryTableField id="5" name="End Date" tableColumnId="5"/>
      <queryTableField id="6" name="Spend" tableColumnId="6"/>
      <queryTableField id="7" name="Impressions" tableColumnId="7"/>
      <queryTableField id="8" name="Clicks" tableColumnId="8"/>
      <queryTableField id="9" name="Leads" tableColumnId="9"/>
      <queryTableField id="10" name="Conversions" tableColumnId="10"/>
      <queryTableField id="11" name="Revenue"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AC7EF3-22BE-4ECD-99BC-F8F73D4967A3}" sourceName="Region">
  <pivotTables>
    <pivotTable tabId="1" name="PivotTable2"/>
    <pivotTable tabId="1" name="PivotTable4"/>
    <pivotTable tabId="1" name="PivotTable6"/>
    <pivotTable tabId="1" name="PivotTable1"/>
    <pivotTable tabId="1" name="PivotTable7"/>
  </pivotTables>
  <data>
    <tabular pivotCacheId="1224161354">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663D06F-8165-44F7-958F-C19932F94EC3}" sourceName="Channel">
  <pivotTables>
    <pivotTable tabId="1" name="PivotTable2"/>
    <pivotTable tabId="1" name="PivotTable4"/>
    <pivotTable tabId="1" name="PivotTable6"/>
    <pivotTable tabId="1" name="PivotTable1"/>
    <pivotTable tabId="1" name="PivotTable7"/>
  </pivotTables>
  <data>
    <tabular pivotCacheId="1224161354">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4242AE3-67CD-4F45-9304-38028975999E}" cache="Slicer_Region" caption="Region" rowHeight="241300"/>
  <slicer name="Channel 1" xr10:uid="{475E0823-2A47-4C92-BC47-0E32CE7028C7}" cache="Slicer_Channel" caption="Chann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2CFA7-E521-4621-9831-D09082E5B509}" name="campaign_data" displayName="campaign_data" ref="A1:R53" tableType="queryTable" totalsRowShown="0">
  <autoFilter ref="A1:R53" xr:uid="{EE32CFA7-E521-4621-9831-D09082E5B509}"/>
  <tableColumns count="18">
    <tableColumn id="1" xr3:uid="{E0B3981A-3046-4DFF-82EF-226817C5E335}" uniqueName="1" name="Campaign Name" queryTableFieldId="1" dataDxfId="11"/>
    <tableColumn id="2" xr3:uid="{5A756217-714D-495E-85B1-06905DE0D2DF}" uniqueName="2" name="Channel" queryTableFieldId="2" dataDxfId="10"/>
    <tableColumn id="3" xr3:uid="{9EE75353-42EF-4E50-AD49-D4152DA0283C}" uniqueName="3" name="Region" queryTableFieldId="3" dataDxfId="9"/>
    <tableColumn id="4" xr3:uid="{4D9097EE-7790-487C-9DB1-D710572355E0}" uniqueName="4" name="Start Date" queryTableFieldId="4" dataDxfId="8"/>
    <tableColumn id="5" xr3:uid="{63D213B1-8BAE-4A52-8E2B-A0E8BBC31E36}" uniqueName="5" name="End Date" queryTableFieldId="5" dataDxfId="7"/>
    <tableColumn id="6" xr3:uid="{A27FF609-2194-47D2-9471-99B9FCF59C14}" uniqueName="6" name="Spend" queryTableFieldId="6"/>
    <tableColumn id="7" xr3:uid="{7B0E7354-CB13-43B4-9ED0-4CE6CA6DE827}" uniqueName="7" name="Impressions" queryTableFieldId="7"/>
    <tableColumn id="8" xr3:uid="{A38A7873-509D-4489-AF2E-33F56C5972E3}" uniqueName="8" name="Clicks" queryTableFieldId="8"/>
    <tableColumn id="9" xr3:uid="{5ABB35DD-E284-42FC-A618-D6AEB62B5CF7}" uniqueName="9" name="Leads" queryTableFieldId="9"/>
    <tableColumn id="10" xr3:uid="{F2160FF5-CCD7-4033-8E41-658B36DA7BB3}" uniqueName="10" name="Conversions" queryTableFieldId="10"/>
    <tableColumn id="11" xr3:uid="{1F731515-569B-44F7-AD04-3668EBF56B86}" uniqueName="11" name="Revenue" queryTableFieldId="11"/>
    <tableColumn id="12" xr3:uid="{432F1888-EA3B-4382-A9C4-8B5E6312FC3C}" uniqueName="12" name="CTR (Click-Through Rate)" queryTableFieldId="12" dataDxfId="6">
      <calculatedColumnFormula>campaign_data[[#This Row],[Clicks]]/campaign_data[[#This Row],[Impressions]]</calculatedColumnFormula>
    </tableColumn>
    <tableColumn id="13" xr3:uid="{4CF18F8E-FA46-4C5E-8B4C-771766536875}" uniqueName="13" name="LEAD CONVERSION RATE" queryTableFieldId="13" dataDxfId="5">
      <calculatedColumnFormula>campaign_data[[#This Row],[Leads]]/campaign_data[[#This Row],[Clicks]]</calculatedColumnFormula>
    </tableColumn>
    <tableColumn id="14" xr3:uid="{E6506B5E-4A65-45B7-B07E-ABF605B7499F}" uniqueName="14" name="CONVERSION RATE" queryTableFieldId="14" dataDxfId="4">
      <calculatedColumnFormula>campaign_data[[#This Row],[Conversions]]/campaign_data[[#This Row],[Leads]]</calculatedColumnFormula>
    </tableColumn>
    <tableColumn id="15" xr3:uid="{FF72C3D0-7B67-479A-9704-A763DD4430AF}" uniqueName="15" name="CPL (Cost Per Lead)" queryTableFieldId="15" dataDxfId="3">
      <calculatedColumnFormula>campaign_data[[#This Row],[Spend]]/campaign_data[[#This Row],[Leads]]</calculatedColumnFormula>
    </tableColumn>
    <tableColumn id="16" xr3:uid="{966F4F88-0A08-43C6-A93C-2F15AE56EB58}" uniqueName="16" name="CPA (Cost Per Acquisition)" queryTableFieldId="16" dataDxfId="2">
      <calculatedColumnFormula>IF(campaign_data[[#This Row],[Conversions]] &gt; 0, campaign_data[[#This Row],[Spend]]/campaign_data[[#This Row],[Conversions]], 0)</calculatedColumnFormula>
    </tableColumn>
    <tableColumn id="17" xr3:uid="{40F97445-91C7-4311-A9B2-8AB5FB3F0629}" uniqueName="17" name="ROI % (Return on Investment)" queryTableFieldId="17" dataDxfId="1">
      <calculatedColumnFormula>IF(campaign_data[[#This Row],[Spend]]&gt;0, (campaign_data[[#This Row],[Revenue]]-campaign_data[[#This Row],[Spend]])/campaign_data[[#This Row],[Spend]],0)</calculatedColumnFormula>
    </tableColumn>
    <tableColumn id="18" xr3:uid="{7A1E22B9-9521-4FF8-9280-010556D8F7D3}" uniqueName="18" name="Profit" queryTableFieldId="18" dataDxfId="0">
      <calculatedColumnFormula>campaign_data[[#This Row],[Revenue]]-campaign_data[[#This Row],[Spend]]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F8F3-C3E0-4F46-8A21-B24A142538D7}">
  <dimension ref="A1:R53"/>
  <sheetViews>
    <sheetView topLeftCell="A2" workbookViewId="0">
      <selection activeCell="D11" sqref="D11"/>
    </sheetView>
  </sheetViews>
  <sheetFormatPr defaultRowHeight="15" x14ac:dyDescent="0.25"/>
  <cols>
    <col min="1" max="1" width="23.42578125" bestFit="1" customWidth="1"/>
    <col min="2" max="2" width="10.5703125" bestFit="1" customWidth="1"/>
    <col min="3" max="3" width="14" bestFit="1" customWidth="1"/>
    <col min="4" max="4" width="12" bestFit="1" customWidth="1"/>
    <col min="5" max="5" width="11.140625" bestFit="1" customWidth="1"/>
    <col min="6" max="6" width="8.85546875" bestFit="1" customWidth="1"/>
    <col min="7" max="7" width="14" bestFit="1" customWidth="1"/>
    <col min="8" max="9" width="8.28515625" bestFit="1" customWidth="1"/>
    <col min="10" max="10" width="14.140625" bestFit="1" customWidth="1"/>
    <col min="11" max="11" width="11.140625" bestFit="1" customWidth="1"/>
  </cols>
  <sheetData>
    <row r="1" spans="1:18" x14ac:dyDescent="0.25">
      <c r="A1" t="s">
        <v>0</v>
      </c>
      <c r="B1" t="s">
        <v>1</v>
      </c>
      <c r="C1" t="s">
        <v>2</v>
      </c>
      <c r="D1" t="s">
        <v>3</v>
      </c>
      <c r="E1" t="s">
        <v>4</v>
      </c>
      <c r="F1" t="s">
        <v>5</v>
      </c>
      <c r="G1" t="s">
        <v>6</v>
      </c>
      <c r="H1" t="s">
        <v>7</v>
      </c>
      <c r="I1" t="s">
        <v>8</v>
      </c>
      <c r="J1" t="s">
        <v>9</v>
      </c>
      <c r="K1" t="s">
        <v>10</v>
      </c>
      <c r="L1" t="s">
        <v>71</v>
      </c>
      <c r="M1" t="s">
        <v>72</v>
      </c>
      <c r="N1" t="s">
        <v>73</v>
      </c>
      <c r="O1" t="s">
        <v>74</v>
      </c>
      <c r="P1" t="s">
        <v>75</v>
      </c>
      <c r="Q1" t="s">
        <v>76</v>
      </c>
      <c r="R1" t="s">
        <v>77</v>
      </c>
    </row>
    <row r="2" spans="1:18" x14ac:dyDescent="0.25">
      <c r="A2" t="s">
        <v>11</v>
      </c>
      <c r="B2" t="s">
        <v>12</v>
      </c>
      <c r="C2" t="s">
        <v>13</v>
      </c>
      <c r="D2" s="1">
        <v>45292</v>
      </c>
      <c r="E2" s="1">
        <v>45326</v>
      </c>
      <c r="F2">
        <v>1472</v>
      </c>
      <c r="G2">
        <v>12064</v>
      </c>
      <c r="H2">
        <v>2741</v>
      </c>
      <c r="I2">
        <v>368</v>
      </c>
      <c r="J2">
        <v>41</v>
      </c>
      <c r="K2">
        <v>6400</v>
      </c>
      <c r="L2">
        <f>campaign_data[[#This Row],[Clicks]]/campaign_data[[#This Row],[Impressions]]</f>
        <v>0.22720490716180372</v>
      </c>
      <c r="M2">
        <f>campaign_data[[#This Row],[Leads]]/campaign_data[[#This Row],[Clicks]]</f>
        <v>0.13425757022984311</v>
      </c>
      <c r="N2">
        <f>campaign_data[[#This Row],[Conversions]]/campaign_data[[#This Row],[Leads]]</f>
        <v>0.11141304347826086</v>
      </c>
      <c r="O2">
        <f>campaign_data[[#This Row],[Spend]]/campaign_data[[#This Row],[Leads]]</f>
        <v>4</v>
      </c>
      <c r="P2">
        <f>IF(campaign_data[[#This Row],[Conversions]] &gt; 0, campaign_data[[#This Row],[Spend]]/campaign_data[[#This Row],[Conversions]], 0)</f>
        <v>35.902439024390247</v>
      </c>
      <c r="Q2">
        <f>IF(campaign_data[[#This Row],[Spend]]&gt;0, (campaign_data[[#This Row],[Revenue]]-campaign_data[[#This Row],[Spend]])/campaign_data[[#This Row],[Spend]],0)</f>
        <v>3.347826086956522</v>
      </c>
      <c r="R2">
        <f>campaign_data[[#This Row],[Revenue]]-campaign_data[[#This Row],[Spend]]</f>
        <v>4928</v>
      </c>
    </row>
    <row r="3" spans="1:18" x14ac:dyDescent="0.25">
      <c r="A3" t="s">
        <v>14</v>
      </c>
      <c r="B3" t="s">
        <v>15</v>
      </c>
      <c r="C3" t="s">
        <v>16</v>
      </c>
      <c r="D3" s="1">
        <v>45297</v>
      </c>
      <c r="E3" s="1">
        <v>45329</v>
      </c>
      <c r="F3">
        <v>4240</v>
      </c>
      <c r="G3">
        <v>38091</v>
      </c>
      <c r="H3">
        <v>3238</v>
      </c>
      <c r="I3">
        <v>269</v>
      </c>
      <c r="J3">
        <v>13</v>
      </c>
      <c r="K3">
        <v>6324</v>
      </c>
      <c r="L3">
        <f>campaign_data[[#This Row],[Clicks]]/campaign_data[[#This Row],[Impressions]]</f>
        <v>8.5006957023968918E-2</v>
      </c>
      <c r="M3">
        <f>campaign_data[[#This Row],[Leads]]/campaign_data[[#This Row],[Clicks]]</f>
        <v>8.3075972822730076E-2</v>
      </c>
      <c r="N3">
        <f>campaign_data[[#This Row],[Conversions]]/campaign_data[[#This Row],[Leads]]</f>
        <v>4.8327137546468404E-2</v>
      </c>
      <c r="O3">
        <f>campaign_data[[#This Row],[Spend]]/campaign_data[[#This Row],[Leads]]</f>
        <v>15.762081784386616</v>
      </c>
      <c r="P3">
        <f>IF(campaign_data[[#This Row],[Conversions]] &gt; 0, campaign_data[[#This Row],[Spend]]/campaign_data[[#This Row],[Conversions]], 0)</f>
        <v>326.15384615384613</v>
      </c>
      <c r="Q3">
        <f>IF(campaign_data[[#This Row],[Spend]]&gt;0, (campaign_data[[#This Row],[Revenue]]-campaign_data[[#This Row],[Spend]])/campaign_data[[#This Row],[Spend]],0)</f>
        <v>0.49150943396226415</v>
      </c>
      <c r="R3">
        <f>campaign_data[[#This Row],[Revenue]]-campaign_data[[#This Row],[Spend]]</f>
        <v>2084</v>
      </c>
    </row>
    <row r="4" spans="1:18" x14ac:dyDescent="0.25">
      <c r="A4" t="s">
        <v>17</v>
      </c>
      <c r="B4" t="s">
        <v>18</v>
      </c>
      <c r="C4" t="s">
        <v>19</v>
      </c>
      <c r="D4" s="1">
        <v>45303</v>
      </c>
      <c r="E4" s="1">
        <v>45328</v>
      </c>
      <c r="F4">
        <v>6088</v>
      </c>
      <c r="G4">
        <v>191467</v>
      </c>
      <c r="H4">
        <v>4661</v>
      </c>
      <c r="I4">
        <v>588</v>
      </c>
      <c r="J4">
        <v>25</v>
      </c>
      <c r="K4">
        <v>7538</v>
      </c>
      <c r="L4">
        <f>campaign_data[[#This Row],[Clicks]]/campaign_data[[#This Row],[Impressions]]</f>
        <v>2.4343620571691205E-2</v>
      </c>
      <c r="M4">
        <f>campaign_data[[#This Row],[Leads]]/campaign_data[[#This Row],[Clicks]]</f>
        <v>0.12615318601158548</v>
      </c>
      <c r="N4">
        <f>campaign_data[[#This Row],[Conversions]]/campaign_data[[#This Row],[Leads]]</f>
        <v>4.2517006802721087E-2</v>
      </c>
      <c r="O4">
        <f>campaign_data[[#This Row],[Spend]]/campaign_data[[#This Row],[Leads]]</f>
        <v>10.353741496598639</v>
      </c>
      <c r="P4">
        <f>IF(campaign_data[[#This Row],[Conversions]] &gt; 0, campaign_data[[#This Row],[Spend]]/campaign_data[[#This Row],[Conversions]], 0)</f>
        <v>243.52</v>
      </c>
      <c r="Q4">
        <f>IF(campaign_data[[#This Row],[Spend]]&gt;0, (campaign_data[[#This Row],[Revenue]]-campaign_data[[#This Row],[Spend]])/campaign_data[[#This Row],[Spend]],0)</f>
        <v>0.23817345597897505</v>
      </c>
      <c r="R4">
        <f>campaign_data[[#This Row],[Revenue]]-campaign_data[[#This Row],[Spend]]</f>
        <v>1450</v>
      </c>
    </row>
    <row r="5" spans="1:18" x14ac:dyDescent="0.25">
      <c r="A5" t="s">
        <v>20</v>
      </c>
      <c r="B5" t="s">
        <v>15</v>
      </c>
      <c r="C5" t="s">
        <v>21</v>
      </c>
      <c r="D5" s="1">
        <v>45308</v>
      </c>
      <c r="E5" s="1">
        <v>45333</v>
      </c>
      <c r="F5">
        <v>1710</v>
      </c>
      <c r="G5">
        <v>76568</v>
      </c>
      <c r="H5">
        <v>6706</v>
      </c>
      <c r="I5">
        <v>684</v>
      </c>
      <c r="J5">
        <v>40</v>
      </c>
      <c r="K5">
        <v>17537</v>
      </c>
      <c r="L5">
        <f>campaign_data[[#This Row],[Clicks]]/campaign_data[[#This Row],[Impressions]]</f>
        <v>8.758227980357329E-2</v>
      </c>
      <c r="M5">
        <f>campaign_data[[#This Row],[Leads]]/campaign_data[[#This Row],[Clicks]]</f>
        <v>0.10199821055770951</v>
      </c>
      <c r="N5">
        <f>campaign_data[[#This Row],[Conversions]]/campaign_data[[#This Row],[Leads]]</f>
        <v>5.8479532163742687E-2</v>
      </c>
      <c r="O5">
        <f>campaign_data[[#This Row],[Spend]]/campaign_data[[#This Row],[Leads]]</f>
        <v>2.5</v>
      </c>
      <c r="P5">
        <f>IF(campaign_data[[#This Row],[Conversions]] &gt; 0, campaign_data[[#This Row],[Spend]]/campaign_data[[#This Row],[Conversions]], 0)</f>
        <v>42.75</v>
      </c>
      <c r="Q5">
        <f>IF(campaign_data[[#This Row],[Spend]]&gt;0, (campaign_data[[#This Row],[Revenue]]-campaign_data[[#This Row],[Spend]])/campaign_data[[#This Row],[Spend]],0)</f>
        <v>9.2555555555555564</v>
      </c>
      <c r="R5">
        <f>campaign_data[[#This Row],[Revenue]]-campaign_data[[#This Row],[Spend]]</f>
        <v>15827</v>
      </c>
    </row>
    <row r="6" spans="1:18" x14ac:dyDescent="0.25">
      <c r="A6" t="s">
        <v>22</v>
      </c>
      <c r="B6" t="s">
        <v>15</v>
      </c>
      <c r="C6" t="s">
        <v>13</v>
      </c>
      <c r="D6" s="1">
        <v>45314</v>
      </c>
      <c r="E6" s="1">
        <v>45344</v>
      </c>
      <c r="F6">
        <v>4435</v>
      </c>
      <c r="G6">
        <v>57116</v>
      </c>
      <c r="H6">
        <v>3593</v>
      </c>
      <c r="I6">
        <v>340</v>
      </c>
      <c r="J6">
        <v>36</v>
      </c>
      <c r="K6">
        <v>11622</v>
      </c>
      <c r="L6">
        <f>campaign_data[[#This Row],[Clicks]]/campaign_data[[#This Row],[Impressions]]</f>
        <v>6.2907066321170949E-2</v>
      </c>
      <c r="M6">
        <f>campaign_data[[#This Row],[Leads]]/campaign_data[[#This Row],[Clicks]]</f>
        <v>9.4628444197049813E-2</v>
      </c>
      <c r="N6">
        <f>campaign_data[[#This Row],[Conversions]]/campaign_data[[#This Row],[Leads]]</f>
        <v>0.10588235294117647</v>
      </c>
      <c r="O6">
        <f>campaign_data[[#This Row],[Spend]]/campaign_data[[#This Row],[Leads]]</f>
        <v>13.044117647058824</v>
      </c>
      <c r="P6">
        <f>IF(campaign_data[[#This Row],[Conversions]] &gt; 0, campaign_data[[#This Row],[Spend]]/campaign_data[[#This Row],[Conversions]], 0)</f>
        <v>123.19444444444444</v>
      </c>
      <c r="Q6">
        <f>IF(campaign_data[[#This Row],[Spend]]&gt;0, (campaign_data[[#This Row],[Revenue]]-campaign_data[[#This Row],[Spend]])/campaign_data[[#This Row],[Spend]],0)</f>
        <v>1.6205186020293123</v>
      </c>
      <c r="R6">
        <f>campaign_data[[#This Row],[Revenue]]-campaign_data[[#This Row],[Spend]]</f>
        <v>7187</v>
      </c>
    </row>
    <row r="7" spans="1:18" x14ac:dyDescent="0.25">
      <c r="A7" t="s">
        <v>23</v>
      </c>
      <c r="B7" t="s">
        <v>15</v>
      </c>
      <c r="C7" t="s">
        <v>16</v>
      </c>
      <c r="D7" s="1">
        <v>45319</v>
      </c>
      <c r="E7" s="1">
        <v>45355</v>
      </c>
      <c r="F7">
        <v>4477</v>
      </c>
      <c r="G7">
        <v>38111</v>
      </c>
      <c r="H7" s="5">
        <v>10045</v>
      </c>
      <c r="I7">
        <v>1100</v>
      </c>
      <c r="J7">
        <v>126</v>
      </c>
      <c r="K7">
        <v>38341</v>
      </c>
      <c r="L7">
        <f>campaign_data[[#This Row],[Clicks]]/campaign_data[[#This Row],[Impressions]]</f>
        <v>0.26357219700348983</v>
      </c>
      <c r="M7">
        <f>campaign_data[[#This Row],[Leads]]/campaign_data[[#This Row],[Clicks]]</f>
        <v>0.1095072175211548</v>
      </c>
      <c r="N7">
        <f>campaign_data[[#This Row],[Conversions]]/campaign_data[[#This Row],[Leads]]</f>
        <v>0.11454545454545455</v>
      </c>
      <c r="O7">
        <f>campaign_data[[#This Row],[Spend]]/campaign_data[[#This Row],[Leads]]</f>
        <v>4.07</v>
      </c>
      <c r="P7">
        <f>IF(campaign_data[[#This Row],[Conversions]] &gt; 0, campaign_data[[#This Row],[Spend]]/campaign_data[[#This Row],[Conversions]], 0)</f>
        <v>35.531746031746032</v>
      </c>
      <c r="Q7">
        <f>IF(campaign_data[[#This Row],[Spend]]&gt;0, (campaign_data[[#This Row],[Revenue]]-campaign_data[[#This Row],[Spend]])/campaign_data[[#This Row],[Spend]],0)</f>
        <v>7.5639937458119277</v>
      </c>
      <c r="R7">
        <f>campaign_data[[#This Row],[Revenue]]-campaign_data[[#This Row],[Spend]]</f>
        <v>33864</v>
      </c>
    </row>
    <row r="8" spans="1:18" x14ac:dyDescent="0.25">
      <c r="A8" t="s">
        <v>24</v>
      </c>
      <c r="B8" t="s">
        <v>12</v>
      </c>
      <c r="C8" t="s">
        <v>19</v>
      </c>
      <c r="D8" s="1">
        <v>45325</v>
      </c>
      <c r="E8" s="1">
        <v>45358</v>
      </c>
      <c r="F8">
        <v>689</v>
      </c>
      <c r="G8">
        <v>14303</v>
      </c>
      <c r="H8">
        <v>3512</v>
      </c>
      <c r="I8">
        <v>533</v>
      </c>
      <c r="J8">
        <v>62</v>
      </c>
      <c r="K8">
        <v>24389</v>
      </c>
      <c r="L8">
        <f>campaign_data[[#This Row],[Clicks]]/campaign_data[[#This Row],[Impressions]]</f>
        <v>0.24554289309934979</v>
      </c>
      <c r="M8">
        <f>campaign_data[[#This Row],[Leads]]/campaign_data[[#This Row],[Clicks]]</f>
        <v>0.15176537585421412</v>
      </c>
      <c r="N8">
        <f>campaign_data[[#This Row],[Conversions]]/campaign_data[[#This Row],[Leads]]</f>
        <v>0.11632270168855535</v>
      </c>
      <c r="O8">
        <f>campaign_data[[#This Row],[Spend]]/campaign_data[[#This Row],[Leads]]</f>
        <v>1.2926829268292683</v>
      </c>
      <c r="P8">
        <f>IF(campaign_data[[#This Row],[Conversions]] &gt; 0, campaign_data[[#This Row],[Spend]]/campaign_data[[#This Row],[Conversions]], 0)</f>
        <v>11.112903225806452</v>
      </c>
      <c r="Q8">
        <f>IF(campaign_data[[#This Row],[Spend]]&gt;0, (campaign_data[[#This Row],[Revenue]]-campaign_data[[#This Row],[Spend]])/campaign_data[[#This Row],[Spend]],0)</f>
        <v>34.397677793904208</v>
      </c>
      <c r="R8">
        <f>campaign_data[[#This Row],[Revenue]]-campaign_data[[#This Row],[Spend]]</f>
        <v>23700</v>
      </c>
    </row>
    <row r="9" spans="1:18" x14ac:dyDescent="0.25">
      <c r="A9" t="s">
        <v>25</v>
      </c>
      <c r="B9" t="s">
        <v>15</v>
      </c>
      <c r="C9" t="s">
        <v>21</v>
      </c>
      <c r="D9" s="1">
        <v>45330</v>
      </c>
      <c r="E9" s="1">
        <v>45358</v>
      </c>
      <c r="F9">
        <v>4208</v>
      </c>
      <c r="G9">
        <v>70611</v>
      </c>
      <c r="H9">
        <v>6044</v>
      </c>
      <c r="I9">
        <v>539</v>
      </c>
      <c r="J9">
        <v>46</v>
      </c>
      <c r="K9">
        <v>11047</v>
      </c>
      <c r="L9">
        <f>campaign_data[[#This Row],[Clicks]]/campaign_data[[#This Row],[Impressions]]</f>
        <v>8.559572871082409E-2</v>
      </c>
      <c r="M9">
        <f>campaign_data[[#This Row],[Leads]]/campaign_data[[#This Row],[Clicks]]</f>
        <v>8.9179351422898748E-2</v>
      </c>
      <c r="N9">
        <f>campaign_data[[#This Row],[Conversions]]/campaign_data[[#This Row],[Leads]]</f>
        <v>8.534322820037106E-2</v>
      </c>
      <c r="O9">
        <f>campaign_data[[#This Row],[Spend]]/campaign_data[[#This Row],[Leads]]</f>
        <v>7.8070500927643787</v>
      </c>
      <c r="P9">
        <f>IF(campaign_data[[#This Row],[Conversions]] &gt; 0, campaign_data[[#This Row],[Spend]]/campaign_data[[#This Row],[Conversions]], 0)</f>
        <v>91.478260869565219</v>
      </c>
      <c r="Q9">
        <f>IF(campaign_data[[#This Row],[Spend]]&gt;0, (campaign_data[[#This Row],[Revenue]]-campaign_data[[#This Row],[Spend]])/campaign_data[[#This Row],[Spend]],0)</f>
        <v>1.6252376425855513</v>
      </c>
      <c r="R9">
        <f>campaign_data[[#This Row],[Revenue]]-campaign_data[[#This Row],[Spend]]</f>
        <v>6839</v>
      </c>
    </row>
    <row r="10" spans="1:18" x14ac:dyDescent="0.25">
      <c r="A10" t="s">
        <v>26</v>
      </c>
      <c r="B10" t="s">
        <v>15</v>
      </c>
      <c r="C10" t="s">
        <v>13</v>
      </c>
      <c r="D10" s="1">
        <v>45336</v>
      </c>
      <c r="E10" s="1">
        <v>45373</v>
      </c>
      <c r="F10">
        <v>2208</v>
      </c>
      <c r="G10">
        <v>23816</v>
      </c>
      <c r="H10">
        <v>2196</v>
      </c>
      <c r="I10">
        <v>199</v>
      </c>
      <c r="J10">
        <v>18</v>
      </c>
      <c r="K10">
        <v>5234</v>
      </c>
      <c r="L10">
        <f>campaign_data[[#This Row],[Clicks]]/campaign_data[[#This Row],[Impressions]]</f>
        <v>9.2206919717836747E-2</v>
      </c>
      <c r="M10">
        <f>campaign_data[[#This Row],[Leads]]/campaign_data[[#This Row],[Clicks]]</f>
        <v>9.0619307832422585E-2</v>
      </c>
      <c r="N10">
        <f>campaign_data[[#This Row],[Conversions]]/campaign_data[[#This Row],[Leads]]</f>
        <v>9.0452261306532666E-2</v>
      </c>
      <c r="O10">
        <f>campaign_data[[#This Row],[Spend]]/campaign_data[[#This Row],[Leads]]</f>
        <v>11.095477386934673</v>
      </c>
      <c r="P10">
        <f>IF(campaign_data[[#This Row],[Conversions]] &gt; 0, campaign_data[[#This Row],[Spend]]/campaign_data[[#This Row],[Conversions]], 0)</f>
        <v>122.66666666666667</v>
      </c>
      <c r="Q10">
        <f>IF(campaign_data[[#This Row],[Spend]]&gt;0, (campaign_data[[#This Row],[Revenue]]-campaign_data[[#This Row],[Spend]])/campaign_data[[#This Row],[Spend]],0)</f>
        <v>1.3704710144927537</v>
      </c>
      <c r="R10">
        <f>campaign_data[[#This Row],[Revenue]]-campaign_data[[#This Row],[Spend]]</f>
        <v>3026</v>
      </c>
    </row>
    <row r="11" spans="1:18" x14ac:dyDescent="0.25">
      <c r="A11" t="s">
        <v>27</v>
      </c>
      <c r="B11" t="s">
        <v>18</v>
      </c>
      <c r="C11" t="s">
        <v>16</v>
      </c>
      <c r="D11" s="1">
        <v>45341</v>
      </c>
      <c r="E11" s="1">
        <v>45383</v>
      </c>
      <c r="F11">
        <v>2861</v>
      </c>
      <c r="G11">
        <v>208334</v>
      </c>
      <c r="H11">
        <v>9358</v>
      </c>
      <c r="I11">
        <v>858</v>
      </c>
      <c r="J11">
        <v>78</v>
      </c>
      <c r="K11">
        <v>22529</v>
      </c>
      <c r="L11">
        <f>campaign_data[[#This Row],[Clicks]]/campaign_data[[#This Row],[Impressions]]</f>
        <v>4.4918256261579963E-2</v>
      </c>
      <c r="M11">
        <f>campaign_data[[#This Row],[Leads]]/campaign_data[[#This Row],[Clicks]]</f>
        <v>9.1686257747381913E-2</v>
      </c>
      <c r="N11">
        <f>campaign_data[[#This Row],[Conversions]]/campaign_data[[#This Row],[Leads]]</f>
        <v>9.0909090909090912E-2</v>
      </c>
      <c r="O11">
        <f>campaign_data[[#This Row],[Spend]]/campaign_data[[#This Row],[Leads]]</f>
        <v>3.3344988344988344</v>
      </c>
      <c r="P11">
        <f>IF(campaign_data[[#This Row],[Conversions]] &gt; 0, campaign_data[[#This Row],[Spend]]/campaign_data[[#This Row],[Conversions]], 0)</f>
        <v>36.679487179487182</v>
      </c>
      <c r="Q11">
        <f>IF(campaign_data[[#This Row],[Spend]]&gt;0, (campaign_data[[#This Row],[Revenue]]-campaign_data[[#This Row],[Spend]])/campaign_data[[#This Row],[Spend]],0)</f>
        <v>6.8745193988116045</v>
      </c>
      <c r="R11">
        <f>campaign_data[[#This Row],[Revenue]]-campaign_data[[#This Row],[Spend]]</f>
        <v>19668</v>
      </c>
    </row>
    <row r="12" spans="1:18" x14ac:dyDescent="0.25">
      <c r="A12" t="s">
        <v>28</v>
      </c>
      <c r="B12" t="s">
        <v>12</v>
      </c>
      <c r="C12" t="s">
        <v>19</v>
      </c>
      <c r="D12" s="1">
        <v>45347</v>
      </c>
      <c r="E12" s="1">
        <v>45370</v>
      </c>
      <c r="F12">
        <v>1907</v>
      </c>
      <c r="G12">
        <v>13227</v>
      </c>
      <c r="H12">
        <v>2411</v>
      </c>
      <c r="I12">
        <v>424</v>
      </c>
      <c r="J12">
        <v>49</v>
      </c>
      <c r="K12">
        <v>22684</v>
      </c>
      <c r="L12">
        <f>campaign_data[[#This Row],[Clicks]]/campaign_data[[#This Row],[Impressions]]</f>
        <v>0.1822786724124896</v>
      </c>
      <c r="M12">
        <f>campaign_data[[#This Row],[Leads]]/campaign_data[[#This Row],[Clicks]]</f>
        <v>0.1758606387391124</v>
      </c>
      <c r="N12">
        <f>campaign_data[[#This Row],[Conversions]]/campaign_data[[#This Row],[Leads]]</f>
        <v>0.11556603773584906</v>
      </c>
      <c r="O12">
        <f>campaign_data[[#This Row],[Spend]]/campaign_data[[#This Row],[Leads]]</f>
        <v>4.4976415094339623</v>
      </c>
      <c r="P12">
        <f>IF(campaign_data[[#This Row],[Conversions]] &gt; 0, campaign_data[[#This Row],[Spend]]/campaign_data[[#This Row],[Conversions]], 0)</f>
        <v>38.918367346938773</v>
      </c>
      <c r="Q12">
        <f>IF(campaign_data[[#This Row],[Spend]]&gt;0, (campaign_data[[#This Row],[Revenue]]-campaign_data[[#This Row],[Spend]])/campaign_data[[#This Row],[Spend]],0)</f>
        <v>10.89512323020451</v>
      </c>
      <c r="R12">
        <f>campaign_data[[#This Row],[Revenue]]-campaign_data[[#This Row],[Spend]]</f>
        <v>20777</v>
      </c>
    </row>
    <row r="13" spans="1:18" x14ac:dyDescent="0.25">
      <c r="A13" t="s">
        <v>29</v>
      </c>
      <c r="B13" t="s">
        <v>15</v>
      </c>
      <c r="C13" t="s">
        <v>21</v>
      </c>
      <c r="D13" s="1">
        <v>45352</v>
      </c>
      <c r="E13" s="1">
        <v>45387</v>
      </c>
      <c r="F13">
        <v>1313</v>
      </c>
      <c r="G13">
        <v>37132</v>
      </c>
      <c r="H13">
        <v>3364</v>
      </c>
      <c r="I13">
        <v>443</v>
      </c>
      <c r="J13">
        <v>31</v>
      </c>
      <c r="K13">
        <v>9969</v>
      </c>
      <c r="L13">
        <f>campaign_data[[#This Row],[Clicks]]/campaign_data[[#This Row],[Impressions]]</f>
        <v>9.059571259291177E-2</v>
      </c>
      <c r="M13">
        <f>campaign_data[[#This Row],[Leads]]/campaign_data[[#This Row],[Clicks]]</f>
        <v>0.13168846611177171</v>
      </c>
      <c r="N13">
        <f>campaign_data[[#This Row],[Conversions]]/campaign_data[[#This Row],[Leads]]</f>
        <v>6.9977426636568849E-2</v>
      </c>
      <c r="O13">
        <f>campaign_data[[#This Row],[Spend]]/campaign_data[[#This Row],[Leads]]</f>
        <v>2.9638826185101581</v>
      </c>
      <c r="P13">
        <f>IF(campaign_data[[#This Row],[Conversions]] &gt; 0, campaign_data[[#This Row],[Spend]]/campaign_data[[#This Row],[Conversions]], 0)</f>
        <v>42.354838709677416</v>
      </c>
      <c r="Q13">
        <f>IF(campaign_data[[#This Row],[Spend]]&gt;0, (campaign_data[[#This Row],[Revenue]]-campaign_data[[#This Row],[Spend]])/campaign_data[[#This Row],[Spend]],0)</f>
        <v>6.5925361766945922</v>
      </c>
      <c r="R13">
        <f>campaign_data[[#This Row],[Revenue]]-campaign_data[[#This Row],[Spend]]</f>
        <v>8656</v>
      </c>
    </row>
    <row r="14" spans="1:18" x14ac:dyDescent="0.25">
      <c r="A14" t="s">
        <v>30</v>
      </c>
      <c r="B14" t="s">
        <v>31</v>
      </c>
      <c r="C14" t="s">
        <v>13</v>
      </c>
      <c r="D14" s="1">
        <v>45358</v>
      </c>
      <c r="E14" s="1">
        <v>45389</v>
      </c>
      <c r="F14">
        <v>944</v>
      </c>
      <c r="G14">
        <v>1718</v>
      </c>
      <c r="H14">
        <v>472</v>
      </c>
      <c r="I14">
        <v>145</v>
      </c>
      <c r="J14">
        <v>37</v>
      </c>
      <c r="K14">
        <v>7471</v>
      </c>
      <c r="L14">
        <f>campaign_data[[#This Row],[Clicks]]/campaign_data[[#This Row],[Impressions]]</f>
        <v>0.27473806752037255</v>
      </c>
      <c r="M14">
        <f>campaign_data[[#This Row],[Leads]]/campaign_data[[#This Row],[Clicks]]</f>
        <v>0.30720338983050849</v>
      </c>
      <c r="N14">
        <f>campaign_data[[#This Row],[Conversions]]/campaign_data[[#This Row],[Leads]]</f>
        <v>0.25517241379310346</v>
      </c>
      <c r="O14">
        <f>campaign_data[[#This Row],[Spend]]/campaign_data[[#This Row],[Leads]]</f>
        <v>6.5103448275862066</v>
      </c>
      <c r="P14">
        <f>IF(campaign_data[[#This Row],[Conversions]] &gt; 0, campaign_data[[#This Row],[Spend]]/campaign_data[[#This Row],[Conversions]], 0)</f>
        <v>25.513513513513512</v>
      </c>
      <c r="Q14">
        <f>IF(campaign_data[[#This Row],[Spend]]&gt;0, (campaign_data[[#This Row],[Revenue]]-campaign_data[[#This Row],[Spend]])/campaign_data[[#This Row],[Spend]],0)</f>
        <v>6.914194915254237</v>
      </c>
      <c r="R14">
        <f>campaign_data[[#This Row],[Revenue]]-campaign_data[[#This Row],[Spend]]</f>
        <v>6527</v>
      </c>
    </row>
    <row r="15" spans="1:18" x14ac:dyDescent="0.25">
      <c r="A15" t="s">
        <v>32</v>
      </c>
      <c r="B15" t="s">
        <v>31</v>
      </c>
      <c r="C15" t="s">
        <v>16</v>
      </c>
      <c r="D15" s="1">
        <v>45363</v>
      </c>
      <c r="E15" s="1">
        <v>45387</v>
      </c>
      <c r="F15">
        <v>504</v>
      </c>
      <c r="G15">
        <v>2876</v>
      </c>
      <c r="H15">
        <v>743</v>
      </c>
      <c r="I15">
        <v>311</v>
      </c>
      <c r="J15">
        <v>94</v>
      </c>
      <c r="K15">
        <v>14687</v>
      </c>
      <c r="L15">
        <f>campaign_data[[#This Row],[Clicks]]/campaign_data[[#This Row],[Impressions]]</f>
        <v>0.25834492350486787</v>
      </c>
      <c r="M15">
        <f>campaign_data[[#This Row],[Leads]]/campaign_data[[#This Row],[Clicks]]</f>
        <v>0.41857335127860029</v>
      </c>
      <c r="N15">
        <f>campaign_data[[#This Row],[Conversions]]/campaign_data[[#This Row],[Leads]]</f>
        <v>0.30225080385852088</v>
      </c>
      <c r="O15">
        <f>campaign_data[[#This Row],[Spend]]/campaign_data[[#This Row],[Leads]]</f>
        <v>1.6205787781350482</v>
      </c>
      <c r="P15">
        <f>IF(campaign_data[[#This Row],[Conversions]] &gt; 0, campaign_data[[#This Row],[Spend]]/campaign_data[[#This Row],[Conversions]], 0)</f>
        <v>5.3617021276595747</v>
      </c>
      <c r="Q15">
        <f>IF(campaign_data[[#This Row],[Spend]]&gt;0, (campaign_data[[#This Row],[Revenue]]-campaign_data[[#This Row],[Spend]])/campaign_data[[#This Row],[Spend]],0)</f>
        <v>28.140873015873016</v>
      </c>
      <c r="R15">
        <f>campaign_data[[#This Row],[Revenue]]-campaign_data[[#This Row],[Spend]]</f>
        <v>14183</v>
      </c>
    </row>
    <row r="16" spans="1:18" x14ac:dyDescent="0.25">
      <c r="A16" t="s">
        <v>33</v>
      </c>
      <c r="B16" t="s">
        <v>18</v>
      </c>
      <c r="C16" t="s">
        <v>19</v>
      </c>
      <c r="D16" s="1">
        <v>45369</v>
      </c>
      <c r="E16" s="1">
        <v>45383</v>
      </c>
      <c r="F16">
        <v>2557</v>
      </c>
      <c r="G16">
        <v>209101</v>
      </c>
      <c r="H16">
        <v>5807</v>
      </c>
      <c r="I16">
        <v>353</v>
      </c>
      <c r="J16">
        <v>18</v>
      </c>
      <c r="K16">
        <v>6850</v>
      </c>
      <c r="L16">
        <f>campaign_data[[#This Row],[Clicks]]/campaign_data[[#This Row],[Impressions]]</f>
        <v>2.777126843008881E-2</v>
      </c>
      <c r="M16">
        <f>campaign_data[[#This Row],[Leads]]/campaign_data[[#This Row],[Clicks]]</f>
        <v>6.0788703289133807E-2</v>
      </c>
      <c r="N16">
        <f>campaign_data[[#This Row],[Conversions]]/campaign_data[[#This Row],[Leads]]</f>
        <v>5.0991501416430593E-2</v>
      </c>
      <c r="O16">
        <f>campaign_data[[#This Row],[Spend]]/campaign_data[[#This Row],[Leads]]</f>
        <v>7.2436260623229458</v>
      </c>
      <c r="P16">
        <f>IF(campaign_data[[#This Row],[Conversions]] &gt; 0, campaign_data[[#This Row],[Spend]]/campaign_data[[#This Row],[Conversions]], 0)</f>
        <v>142.05555555555554</v>
      </c>
      <c r="Q16">
        <f>IF(campaign_data[[#This Row],[Spend]]&gt;0, (campaign_data[[#This Row],[Revenue]]-campaign_data[[#This Row],[Spend]])/campaign_data[[#This Row],[Spend]],0)</f>
        <v>1.6789206100899492</v>
      </c>
      <c r="R16">
        <f>campaign_data[[#This Row],[Revenue]]-campaign_data[[#This Row],[Spend]]</f>
        <v>4293</v>
      </c>
    </row>
    <row r="17" spans="1:18" x14ac:dyDescent="0.25">
      <c r="A17" t="s">
        <v>34</v>
      </c>
      <c r="B17" t="s">
        <v>12</v>
      </c>
      <c r="C17" t="s">
        <v>21</v>
      </c>
      <c r="D17" s="1">
        <v>45374</v>
      </c>
      <c r="E17" s="1">
        <v>45389</v>
      </c>
      <c r="F17">
        <v>1356</v>
      </c>
      <c r="G17">
        <v>7821</v>
      </c>
      <c r="H17">
        <v>1216</v>
      </c>
      <c r="I17">
        <v>179</v>
      </c>
      <c r="J17">
        <v>21</v>
      </c>
      <c r="K17">
        <v>9235</v>
      </c>
      <c r="L17">
        <f>campaign_data[[#This Row],[Clicks]]/campaign_data[[#This Row],[Impressions]]</f>
        <v>0.15547883902314283</v>
      </c>
      <c r="M17">
        <f>campaign_data[[#This Row],[Leads]]/campaign_data[[#This Row],[Clicks]]</f>
        <v>0.14720394736842105</v>
      </c>
      <c r="N17">
        <f>campaign_data[[#This Row],[Conversions]]/campaign_data[[#This Row],[Leads]]</f>
        <v>0.11731843575418995</v>
      </c>
      <c r="O17">
        <f>campaign_data[[#This Row],[Spend]]/campaign_data[[#This Row],[Leads]]</f>
        <v>7.5754189944134076</v>
      </c>
      <c r="P17">
        <f>IF(campaign_data[[#This Row],[Conversions]] &gt; 0, campaign_data[[#This Row],[Spend]]/campaign_data[[#This Row],[Conversions]], 0)</f>
        <v>64.571428571428569</v>
      </c>
      <c r="Q17">
        <f>IF(campaign_data[[#This Row],[Spend]]&gt;0, (campaign_data[[#This Row],[Revenue]]-campaign_data[[#This Row],[Spend]])/campaign_data[[#This Row],[Spend]],0)</f>
        <v>5.8104719764011801</v>
      </c>
      <c r="R17">
        <f>campaign_data[[#This Row],[Revenue]]-campaign_data[[#This Row],[Spend]]</f>
        <v>7879</v>
      </c>
    </row>
    <row r="18" spans="1:18" x14ac:dyDescent="0.25">
      <c r="A18" t="s">
        <v>35</v>
      </c>
      <c r="B18" t="s">
        <v>15</v>
      </c>
      <c r="C18" t="s">
        <v>13</v>
      </c>
      <c r="D18" s="1">
        <v>45380</v>
      </c>
      <c r="E18" s="1">
        <v>45411</v>
      </c>
      <c r="F18">
        <v>2708</v>
      </c>
      <c r="G18">
        <v>81202</v>
      </c>
      <c r="H18">
        <v>6922</v>
      </c>
      <c r="I18">
        <v>667</v>
      </c>
      <c r="J18">
        <v>41</v>
      </c>
      <c r="K18">
        <v>13672</v>
      </c>
      <c r="L18">
        <f>campaign_data[[#This Row],[Clicks]]/campaign_data[[#This Row],[Impressions]]</f>
        <v>8.5244205807738727E-2</v>
      </c>
      <c r="M18">
        <f>campaign_data[[#This Row],[Leads]]/campaign_data[[#This Row],[Clicks]]</f>
        <v>9.6359433689685067E-2</v>
      </c>
      <c r="N18">
        <f>campaign_data[[#This Row],[Conversions]]/campaign_data[[#This Row],[Leads]]</f>
        <v>6.1469265367316339E-2</v>
      </c>
      <c r="O18">
        <f>campaign_data[[#This Row],[Spend]]/campaign_data[[#This Row],[Leads]]</f>
        <v>4.059970014992504</v>
      </c>
      <c r="P18">
        <f>IF(campaign_data[[#This Row],[Conversions]] &gt; 0, campaign_data[[#This Row],[Spend]]/campaign_data[[#This Row],[Conversions]], 0)</f>
        <v>66.048780487804876</v>
      </c>
      <c r="Q18">
        <f>IF(campaign_data[[#This Row],[Spend]]&gt;0, (campaign_data[[#This Row],[Revenue]]-campaign_data[[#This Row],[Spend]])/campaign_data[[#This Row],[Spend]],0)</f>
        <v>4.0487444608567209</v>
      </c>
      <c r="R18">
        <f>campaign_data[[#This Row],[Revenue]]-campaign_data[[#This Row],[Spend]]</f>
        <v>10964</v>
      </c>
    </row>
    <row r="19" spans="1:18" x14ac:dyDescent="0.25">
      <c r="A19" t="s">
        <v>36</v>
      </c>
      <c r="B19" t="s">
        <v>15</v>
      </c>
      <c r="C19" t="s">
        <v>16</v>
      </c>
      <c r="D19" s="1">
        <v>45385</v>
      </c>
      <c r="E19" s="1">
        <v>45410</v>
      </c>
      <c r="F19">
        <v>2766</v>
      </c>
      <c r="G19">
        <v>68702</v>
      </c>
      <c r="H19">
        <v>4553</v>
      </c>
      <c r="I19">
        <v>663</v>
      </c>
      <c r="J19">
        <v>50</v>
      </c>
      <c r="K19">
        <v>23173</v>
      </c>
      <c r="L19">
        <f>campaign_data[[#This Row],[Clicks]]/campaign_data[[#This Row],[Impressions]]</f>
        <v>6.6271724258391312E-2</v>
      </c>
      <c r="M19">
        <f>campaign_data[[#This Row],[Leads]]/campaign_data[[#This Row],[Clicks]]</f>
        <v>0.14561827366571492</v>
      </c>
      <c r="N19">
        <f>campaign_data[[#This Row],[Conversions]]/campaign_data[[#This Row],[Leads]]</f>
        <v>7.5414781297134234E-2</v>
      </c>
      <c r="O19">
        <f>campaign_data[[#This Row],[Spend]]/campaign_data[[#This Row],[Leads]]</f>
        <v>4.1719457013574663</v>
      </c>
      <c r="P19">
        <f>IF(campaign_data[[#This Row],[Conversions]] &gt; 0, campaign_data[[#This Row],[Spend]]/campaign_data[[#This Row],[Conversions]], 0)</f>
        <v>55.32</v>
      </c>
      <c r="Q19">
        <f>IF(campaign_data[[#This Row],[Spend]]&gt;0, (campaign_data[[#This Row],[Revenue]]-campaign_data[[#This Row],[Spend]])/campaign_data[[#This Row],[Spend]],0)</f>
        <v>7.3778018799710772</v>
      </c>
      <c r="R19">
        <f>campaign_data[[#This Row],[Revenue]]-campaign_data[[#This Row],[Spend]]</f>
        <v>20407</v>
      </c>
    </row>
    <row r="20" spans="1:18" x14ac:dyDescent="0.25">
      <c r="A20" t="s">
        <v>37</v>
      </c>
      <c r="B20" t="s">
        <v>15</v>
      </c>
      <c r="C20" t="s">
        <v>19</v>
      </c>
      <c r="D20" s="1">
        <v>45391</v>
      </c>
      <c r="E20" s="1">
        <v>45417</v>
      </c>
      <c r="F20">
        <v>1629</v>
      </c>
      <c r="G20">
        <v>27245</v>
      </c>
      <c r="H20">
        <v>2019</v>
      </c>
      <c r="I20">
        <v>276</v>
      </c>
      <c r="J20">
        <v>21</v>
      </c>
      <c r="K20">
        <v>8152</v>
      </c>
      <c r="L20">
        <f>campaign_data[[#This Row],[Clicks]]/campaign_data[[#This Row],[Impressions]]</f>
        <v>7.4105340429436589E-2</v>
      </c>
      <c r="M20">
        <f>campaign_data[[#This Row],[Leads]]/campaign_data[[#This Row],[Clicks]]</f>
        <v>0.13670133729569092</v>
      </c>
      <c r="N20">
        <f>campaign_data[[#This Row],[Conversions]]/campaign_data[[#This Row],[Leads]]</f>
        <v>7.6086956521739135E-2</v>
      </c>
      <c r="O20">
        <f>campaign_data[[#This Row],[Spend]]/campaign_data[[#This Row],[Leads]]</f>
        <v>5.9021739130434785</v>
      </c>
      <c r="P20">
        <f>IF(campaign_data[[#This Row],[Conversions]] &gt; 0, campaign_data[[#This Row],[Spend]]/campaign_data[[#This Row],[Conversions]], 0)</f>
        <v>77.571428571428569</v>
      </c>
      <c r="Q20">
        <f>IF(campaign_data[[#This Row],[Spend]]&gt;0, (campaign_data[[#This Row],[Revenue]]-campaign_data[[#This Row],[Spend]])/campaign_data[[#This Row],[Spend]],0)</f>
        <v>4.004297114794352</v>
      </c>
      <c r="R20">
        <f>campaign_data[[#This Row],[Revenue]]-campaign_data[[#This Row],[Spend]]</f>
        <v>6523</v>
      </c>
    </row>
    <row r="21" spans="1:18" x14ac:dyDescent="0.25">
      <c r="A21" t="s">
        <v>38</v>
      </c>
      <c r="B21" t="s">
        <v>18</v>
      </c>
      <c r="C21" t="s">
        <v>21</v>
      </c>
      <c r="D21" s="1">
        <v>45396</v>
      </c>
      <c r="E21" s="1">
        <v>45411</v>
      </c>
      <c r="F21">
        <v>7159</v>
      </c>
      <c r="G21">
        <v>116743</v>
      </c>
      <c r="H21">
        <v>5301</v>
      </c>
      <c r="I21">
        <v>393</v>
      </c>
      <c r="J21">
        <v>34</v>
      </c>
      <c r="K21">
        <v>11676</v>
      </c>
      <c r="L21">
        <f>campaign_data[[#This Row],[Clicks]]/campaign_data[[#This Row],[Impressions]]</f>
        <v>4.5407433422132375E-2</v>
      </c>
      <c r="M21">
        <f>campaign_data[[#This Row],[Leads]]/campaign_data[[#This Row],[Clicks]]</f>
        <v>7.4136955291454448E-2</v>
      </c>
      <c r="N21">
        <f>campaign_data[[#This Row],[Conversions]]/campaign_data[[#This Row],[Leads]]</f>
        <v>8.6513994910941472E-2</v>
      </c>
      <c r="O21">
        <f>campaign_data[[#This Row],[Spend]]/campaign_data[[#This Row],[Leads]]</f>
        <v>18.216284987277355</v>
      </c>
      <c r="P21">
        <f>IF(campaign_data[[#This Row],[Conversions]] &gt; 0, campaign_data[[#This Row],[Spend]]/campaign_data[[#This Row],[Conversions]], 0)</f>
        <v>210.55882352941177</v>
      </c>
      <c r="Q21">
        <f>IF(campaign_data[[#This Row],[Spend]]&gt;0, (campaign_data[[#This Row],[Revenue]]-campaign_data[[#This Row],[Spend]])/campaign_data[[#This Row],[Spend]],0)</f>
        <v>0.63095404386087439</v>
      </c>
      <c r="R21">
        <f>campaign_data[[#This Row],[Revenue]]-campaign_data[[#This Row],[Spend]]</f>
        <v>4517</v>
      </c>
    </row>
    <row r="22" spans="1:18" x14ac:dyDescent="0.25">
      <c r="A22" t="s">
        <v>39</v>
      </c>
      <c r="B22" t="s">
        <v>12</v>
      </c>
      <c r="C22" t="s">
        <v>13</v>
      </c>
      <c r="D22" s="1">
        <v>45402</v>
      </c>
      <c r="E22" s="1">
        <v>45437</v>
      </c>
      <c r="F22">
        <v>1190</v>
      </c>
      <c r="G22">
        <v>14141</v>
      </c>
      <c r="H22">
        <v>2585</v>
      </c>
      <c r="I22">
        <v>494</v>
      </c>
      <c r="J22">
        <v>45</v>
      </c>
      <c r="K22">
        <v>12889</v>
      </c>
      <c r="L22">
        <f>campaign_data[[#This Row],[Clicks]]/campaign_data[[#This Row],[Impressions]]</f>
        <v>0.18280178205218867</v>
      </c>
      <c r="M22">
        <f>campaign_data[[#This Row],[Leads]]/campaign_data[[#This Row],[Clicks]]</f>
        <v>0.19110251450676982</v>
      </c>
      <c r="N22">
        <f>campaign_data[[#This Row],[Conversions]]/campaign_data[[#This Row],[Leads]]</f>
        <v>9.1093117408906882E-2</v>
      </c>
      <c r="O22">
        <f>campaign_data[[#This Row],[Spend]]/campaign_data[[#This Row],[Leads]]</f>
        <v>2.4089068825910931</v>
      </c>
      <c r="P22">
        <f>IF(campaign_data[[#This Row],[Conversions]] &gt; 0, campaign_data[[#This Row],[Spend]]/campaign_data[[#This Row],[Conversions]], 0)</f>
        <v>26.444444444444443</v>
      </c>
      <c r="Q22">
        <f>IF(campaign_data[[#This Row],[Spend]]&gt;0, (campaign_data[[#This Row],[Revenue]]-campaign_data[[#This Row],[Spend]])/campaign_data[[#This Row],[Spend]],0)</f>
        <v>9.8310924369747905</v>
      </c>
      <c r="R22">
        <f>campaign_data[[#This Row],[Revenue]]-campaign_data[[#This Row],[Spend]]</f>
        <v>11699</v>
      </c>
    </row>
    <row r="23" spans="1:18" x14ac:dyDescent="0.25">
      <c r="A23" t="s">
        <v>40</v>
      </c>
      <c r="B23" t="s">
        <v>18</v>
      </c>
      <c r="C23" t="s">
        <v>16</v>
      </c>
      <c r="D23" s="1">
        <v>45407</v>
      </c>
      <c r="E23" s="1">
        <v>45441</v>
      </c>
      <c r="F23">
        <v>9431</v>
      </c>
      <c r="G23">
        <v>203765</v>
      </c>
      <c r="H23">
        <v>9168</v>
      </c>
      <c r="I23">
        <v>1057</v>
      </c>
      <c r="J23">
        <v>88</v>
      </c>
      <c r="K23">
        <v>19000</v>
      </c>
      <c r="L23">
        <f>campaign_data[[#This Row],[Clicks]]/campaign_data[[#This Row],[Impressions]]</f>
        <v>4.4993006649817188E-2</v>
      </c>
      <c r="M23">
        <f>campaign_data[[#This Row],[Leads]]/campaign_data[[#This Row],[Clicks]]</f>
        <v>0.11529232111692844</v>
      </c>
      <c r="N23">
        <f>campaign_data[[#This Row],[Conversions]]/campaign_data[[#This Row],[Leads]]</f>
        <v>8.3254493850520347E-2</v>
      </c>
      <c r="O23">
        <f>campaign_data[[#This Row],[Spend]]/campaign_data[[#This Row],[Leads]]</f>
        <v>8.9224219489120156</v>
      </c>
      <c r="P23">
        <f>IF(campaign_data[[#This Row],[Conversions]] &gt; 0, campaign_data[[#This Row],[Spend]]/campaign_data[[#This Row],[Conversions]], 0)</f>
        <v>107.17045454545455</v>
      </c>
      <c r="Q23">
        <f>IF(campaign_data[[#This Row],[Spend]]&gt;0, (campaign_data[[#This Row],[Revenue]]-campaign_data[[#This Row],[Spend]])/campaign_data[[#This Row],[Spend]],0)</f>
        <v>1.0146325946347152</v>
      </c>
      <c r="R23">
        <f>campaign_data[[#This Row],[Revenue]]-campaign_data[[#This Row],[Spend]]</f>
        <v>9569</v>
      </c>
    </row>
    <row r="24" spans="1:18" x14ac:dyDescent="0.25">
      <c r="A24" t="s">
        <v>41</v>
      </c>
      <c r="B24" t="s">
        <v>15</v>
      </c>
      <c r="C24" t="s">
        <v>19</v>
      </c>
      <c r="D24" s="1">
        <v>45413</v>
      </c>
      <c r="E24" s="1">
        <v>45436</v>
      </c>
      <c r="F24">
        <v>4518</v>
      </c>
      <c r="G24">
        <v>28150</v>
      </c>
      <c r="H24">
        <v>1739</v>
      </c>
      <c r="I24">
        <v>227</v>
      </c>
      <c r="J24">
        <v>19</v>
      </c>
      <c r="K24">
        <v>3002</v>
      </c>
      <c r="L24">
        <f>campaign_data[[#This Row],[Clicks]]/campaign_data[[#This Row],[Impressions]]</f>
        <v>6.1776198934280636E-2</v>
      </c>
      <c r="M24">
        <f>campaign_data[[#This Row],[Leads]]/campaign_data[[#This Row],[Clicks]]</f>
        <v>0.1305347901092582</v>
      </c>
      <c r="N24">
        <f>campaign_data[[#This Row],[Conversions]]/campaign_data[[#This Row],[Leads]]</f>
        <v>8.3700440528634359E-2</v>
      </c>
      <c r="O24">
        <f>campaign_data[[#This Row],[Spend]]/campaign_data[[#This Row],[Leads]]</f>
        <v>19.903083700440529</v>
      </c>
      <c r="P24">
        <f>IF(campaign_data[[#This Row],[Conversions]] &gt; 0, campaign_data[[#This Row],[Spend]]/campaign_data[[#This Row],[Conversions]], 0)</f>
        <v>237.78947368421052</v>
      </c>
      <c r="Q24">
        <f>IF(campaign_data[[#This Row],[Spend]]&gt;0, (campaign_data[[#This Row],[Revenue]]-campaign_data[[#This Row],[Spend]])/campaign_data[[#This Row],[Spend]],0)</f>
        <v>-0.33554670208056664</v>
      </c>
      <c r="R24">
        <f>campaign_data[[#This Row],[Revenue]]-campaign_data[[#This Row],[Spend]]</f>
        <v>-1516</v>
      </c>
    </row>
    <row r="25" spans="1:18" x14ac:dyDescent="0.25">
      <c r="A25" t="s">
        <v>42</v>
      </c>
      <c r="B25" t="s">
        <v>15</v>
      </c>
      <c r="C25" t="s">
        <v>21</v>
      </c>
      <c r="D25" s="1">
        <v>45418</v>
      </c>
      <c r="E25" s="1">
        <v>45459</v>
      </c>
      <c r="F25">
        <v>3626</v>
      </c>
      <c r="G25">
        <v>27030</v>
      </c>
      <c r="H25">
        <v>2036</v>
      </c>
      <c r="I25">
        <v>299</v>
      </c>
      <c r="J25">
        <v>19</v>
      </c>
      <c r="K25">
        <v>5401</v>
      </c>
      <c r="L25">
        <f>campaign_data[[#This Row],[Clicks]]/campaign_data[[#This Row],[Impressions]]</f>
        <v>7.532371439141694E-2</v>
      </c>
      <c r="M25">
        <f>campaign_data[[#This Row],[Leads]]/campaign_data[[#This Row],[Clicks]]</f>
        <v>0.14685658153241651</v>
      </c>
      <c r="N25">
        <f>campaign_data[[#This Row],[Conversions]]/campaign_data[[#This Row],[Leads]]</f>
        <v>6.354515050167224E-2</v>
      </c>
      <c r="O25">
        <f>campaign_data[[#This Row],[Spend]]/campaign_data[[#This Row],[Leads]]</f>
        <v>12.127090301003344</v>
      </c>
      <c r="P25">
        <f>IF(campaign_data[[#This Row],[Conversions]] &gt; 0, campaign_data[[#This Row],[Spend]]/campaign_data[[#This Row],[Conversions]], 0)</f>
        <v>190.84210526315789</v>
      </c>
      <c r="Q25">
        <f>IF(campaign_data[[#This Row],[Spend]]&gt;0, (campaign_data[[#This Row],[Revenue]]-campaign_data[[#This Row],[Spend]])/campaign_data[[#This Row],[Spend]],0)</f>
        <v>0.48952013237727521</v>
      </c>
      <c r="R25">
        <f>campaign_data[[#This Row],[Revenue]]-campaign_data[[#This Row],[Spend]]</f>
        <v>1775</v>
      </c>
    </row>
    <row r="26" spans="1:18" x14ac:dyDescent="0.25">
      <c r="A26" t="s">
        <v>43</v>
      </c>
      <c r="B26" t="s">
        <v>12</v>
      </c>
      <c r="C26" t="s">
        <v>13</v>
      </c>
      <c r="D26" s="1">
        <v>45424</v>
      </c>
      <c r="E26" s="1">
        <v>45465</v>
      </c>
      <c r="F26">
        <v>1344</v>
      </c>
      <c r="G26">
        <v>7392</v>
      </c>
      <c r="H26">
        <v>1712</v>
      </c>
      <c r="I26">
        <v>259</v>
      </c>
      <c r="J26">
        <v>33</v>
      </c>
      <c r="K26">
        <v>14701</v>
      </c>
      <c r="L26">
        <f>campaign_data[[#This Row],[Clicks]]/campaign_data[[#This Row],[Impressions]]</f>
        <v>0.23160173160173161</v>
      </c>
      <c r="M26">
        <f>campaign_data[[#This Row],[Leads]]/campaign_data[[#This Row],[Clicks]]</f>
        <v>0.15128504672897197</v>
      </c>
      <c r="N26">
        <f>campaign_data[[#This Row],[Conversions]]/campaign_data[[#This Row],[Leads]]</f>
        <v>0.12741312741312741</v>
      </c>
      <c r="O26">
        <f>campaign_data[[#This Row],[Spend]]/campaign_data[[#This Row],[Leads]]</f>
        <v>5.1891891891891895</v>
      </c>
      <c r="P26">
        <f>IF(campaign_data[[#This Row],[Conversions]] &gt; 0, campaign_data[[#This Row],[Spend]]/campaign_data[[#This Row],[Conversions]], 0)</f>
        <v>40.727272727272727</v>
      </c>
      <c r="Q26">
        <f>IF(campaign_data[[#This Row],[Spend]]&gt;0, (campaign_data[[#This Row],[Revenue]]-campaign_data[[#This Row],[Spend]])/campaign_data[[#This Row],[Spend]],0)</f>
        <v>9.9382440476190474</v>
      </c>
      <c r="R26">
        <f>campaign_data[[#This Row],[Revenue]]-campaign_data[[#This Row],[Spend]]</f>
        <v>13357</v>
      </c>
    </row>
    <row r="27" spans="1:18" x14ac:dyDescent="0.25">
      <c r="A27" t="s">
        <v>44</v>
      </c>
      <c r="B27" t="s">
        <v>15</v>
      </c>
      <c r="C27" t="s">
        <v>16</v>
      </c>
      <c r="D27" s="1">
        <v>45429</v>
      </c>
      <c r="E27" s="1">
        <v>45456</v>
      </c>
      <c r="F27">
        <v>1525</v>
      </c>
      <c r="G27">
        <v>22780</v>
      </c>
      <c r="H27">
        <v>1754</v>
      </c>
      <c r="I27">
        <v>161</v>
      </c>
      <c r="J27">
        <v>16</v>
      </c>
      <c r="K27">
        <v>3595</v>
      </c>
      <c r="L27">
        <f>campaign_data[[#This Row],[Clicks]]/campaign_data[[#This Row],[Impressions]]</f>
        <v>7.6997366110623355E-2</v>
      </c>
      <c r="M27">
        <f>campaign_data[[#This Row],[Leads]]/campaign_data[[#This Row],[Clicks]]</f>
        <v>9.1790193842645376E-2</v>
      </c>
      <c r="N27">
        <f>campaign_data[[#This Row],[Conversions]]/campaign_data[[#This Row],[Leads]]</f>
        <v>9.9378881987577633E-2</v>
      </c>
      <c r="O27">
        <f>campaign_data[[#This Row],[Spend]]/campaign_data[[#This Row],[Leads]]</f>
        <v>9.4720496894409933</v>
      </c>
      <c r="P27">
        <f>IF(campaign_data[[#This Row],[Conversions]] &gt; 0, campaign_data[[#This Row],[Spend]]/campaign_data[[#This Row],[Conversions]], 0)</f>
        <v>95.3125</v>
      </c>
      <c r="Q27">
        <f>IF(campaign_data[[#This Row],[Spend]]&gt;0, (campaign_data[[#This Row],[Revenue]]-campaign_data[[#This Row],[Spend]])/campaign_data[[#This Row],[Spend]],0)</f>
        <v>1.3573770491803279</v>
      </c>
      <c r="R27">
        <f>campaign_data[[#This Row],[Revenue]]-campaign_data[[#This Row],[Spend]]</f>
        <v>2070</v>
      </c>
    </row>
    <row r="28" spans="1:18" x14ac:dyDescent="0.25">
      <c r="A28" t="s">
        <v>45</v>
      </c>
      <c r="B28" t="s">
        <v>18</v>
      </c>
      <c r="C28" t="s">
        <v>19</v>
      </c>
      <c r="D28" s="1">
        <v>45435</v>
      </c>
      <c r="E28" s="1">
        <v>45462</v>
      </c>
      <c r="F28">
        <v>4682</v>
      </c>
      <c r="G28">
        <v>144167</v>
      </c>
      <c r="H28">
        <v>3924</v>
      </c>
      <c r="I28">
        <v>435</v>
      </c>
      <c r="J28">
        <v>42</v>
      </c>
      <c r="K28">
        <v>9383</v>
      </c>
      <c r="L28">
        <f>campaign_data[[#This Row],[Clicks]]/campaign_data[[#This Row],[Impressions]]</f>
        <v>2.7218434177030803E-2</v>
      </c>
      <c r="M28">
        <f>campaign_data[[#This Row],[Leads]]/campaign_data[[#This Row],[Clicks]]</f>
        <v>0.11085626911314984</v>
      </c>
      <c r="N28">
        <f>campaign_data[[#This Row],[Conversions]]/campaign_data[[#This Row],[Leads]]</f>
        <v>9.6551724137931033E-2</v>
      </c>
      <c r="O28">
        <f>campaign_data[[#This Row],[Spend]]/campaign_data[[#This Row],[Leads]]</f>
        <v>10.763218390804598</v>
      </c>
      <c r="P28">
        <f>IF(campaign_data[[#This Row],[Conversions]] &gt; 0, campaign_data[[#This Row],[Spend]]/campaign_data[[#This Row],[Conversions]], 0)</f>
        <v>111.47619047619048</v>
      </c>
      <c r="Q28">
        <f>IF(campaign_data[[#This Row],[Spend]]&gt;0, (campaign_data[[#This Row],[Revenue]]-campaign_data[[#This Row],[Spend]])/campaign_data[[#This Row],[Spend]],0)</f>
        <v>1.0040580948312687</v>
      </c>
      <c r="R28">
        <f>campaign_data[[#This Row],[Revenue]]-campaign_data[[#This Row],[Spend]]</f>
        <v>4701</v>
      </c>
    </row>
    <row r="29" spans="1:18" x14ac:dyDescent="0.25">
      <c r="A29" t="s">
        <v>46</v>
      </c>
      <c r="B29" t="s">
        <v>15</v>
      </c>
      <c r="C29" t="s">
        <v>21</v>
      </c>
      <c r="D29" s="1">
        <v>45440</v>
      </c>
      <c r="E29" s="1">
        <v>45462</v>
      </c>
      <c r="F29">
        <v>1303</v>
      </c>
      <c r="G29">
        <v>51214</v>
      </c>
      <c r="H29">
        <v>3134</v>
      </c>
      <c r="I29">
        <v>449</v>
      </c>
      <c r="J29">
        <v>47</v>
      </c>
      <c r="K29">
        <v>9627</v>
      </c>
      <c r="L29">
        <f>campaign_data[[#This Row],[Clicks]]/campaign_data[[#This Row],[Impressions]]</f>
        <v>6.1194204709649702E-2</v>
      </c>
      <c r="M29">
        <f>campaign_data[[#This Row],[Leads]]/campaign_data[[#This Row],[Clicks]]</f>
        <v>0.14326738991703894</v>
      </c>
      <c r="N29">
        <f>campaign_data[[#This Row],[Conversions]]/campaign_data[[#This Row],[Leads]]</f>
        <v>0.10467706013363029</v>
      </c>
      <c r="O29">
        <f>campaign_data[[#This Row],[Spend]]/campaign_data[[#This Row],[Leads]]</f>
        <v>2.9020044543429844</v>
      </c>
      <c r="P29">
        <f>IF(campaign_data[[#This Row],[Conversions]] &gt; 0, campaign_data[[#This Row],[Spend]]/campaign_data[[#This Row],[Conversions]], 0)</f>
        <v>27.723404255319149</v>
      </c>
      <c r="Q29">
        <f>IF(campaign_data[[#This Row],[Spend]]&gt;0, (campaign_data[[#This Row],[Revenue]]-campaign_data[[#This Row],[Spend]])/campaign_data[[#This Row],[Spend]],0)</f>
        <v>6.3883346124328471</v>
      </c>
      <c r="R29">
        <f>campaign_data[[#This Row],[Revenue]]-campaign_data[[#This Row],[Spend]]</f>
        <v>8324</v>
      </c>
    </row>
    <row r="30" spans="1:18" x14ac:dyDescent="0.25">
      <c r="A30" t="s">
        <v>47</v>
      </c>
      <c r="B30" t="s">
        <v>15</v>
      </c>
      <c r="C30" t="s">
        <v>13</v>
      </c>
      <c r="D30" s="1">
        <v>45446</v>
      </c>
      <c r="E30" s="1">
        <v>45475</v>
      </c>
      <c r="F30">
        <v>3533</v>
      </c>
      <c r="G30">
        <v>37680</v>
      </c>
      <c r="H30">
        <v>3467</v>
      </c>
      <c r="I30">
        <v>406</v>
      </c>
      <c r="J30">
        <v>27</v>
      </c>
      <c r="K30">
        <v>8490</v>
      </c>
      <c r="L30">
        <f>campaign_data[[#This Row],[Clicks]]/campaign_data[[#This Row],[Impressions]]</f>
        <v>9.2011677282377913E-2</v>
      </c>
      <c r="M30">
        <f>campaign_data[[#This Row],[Leads]]/campaign_data[[#This Row],[Clicks]]</f>
        <v>0.11710412460340353</v>
      </c>
      <c r="N30">
        <f>campaign_data[[#This Row],[Conversions]]/campaign_data[[#This Row],[Leads]]</f>
        <v>6.6502463054187194E-2</v>
      </c>
      <c r="O30">
        <f>campaign_data[[#This Row],[Spend]]/campaign_data[[#This Row],[Leads]]</f>
        <v>8.7019704433497544</v>
      </c>
      <c r="P30">
        <f>IF(campaign_data[[#This Row],[Conversions]] &gt; 0, campaign_data[[#This Row],[Spend]]/campaign_data[[#This Row],[Conversions]], 0)</f>
        <v>130.85185185185185</v>
      </c>
      <c r="Q30">
        <f>IF(campaign_data[[#This Row],[Spend]]&gt;0, (campaign_data[[#This Row],[Revenue]]-campaign_data[[#This Row],[Spend]])/campaign_data[[#This Row],[Spend]],0)</f>
        <v>1.4030568921596378</v>
      </c>
      <c r="R30">
        <f>campaign_data[[#This Row],[Revenue]]-campaign_data[[#This Row],[Spend]]</f>
        <v>4957</v>
      </c>
    </row>
    <row r="31" spans="1:18" x14ac:dyDescent="0.25">
      <c r="A31" t="s">
        <v>48</v>
      </c>
      <c r="B31" t="s">
        <v>15</v>
      </c>
      <c r="C31" t="s">
        <v>16</v>
      </c>
      <c r="D31" s="1">
        <v>45451</v>
      </c>
      <c r="E31" s="1">
        <v>45472</v>
      </c>
      <c r="F31">
        <v>4852</v>
      </c>
      <c r="G31">
        <v>80692</v>
      </c>
      <c r="H31">
        <v>7248</v>
      </c>
      <c r="I31">
        <v>822</v>
      </c>
      <c r="J31">
        <v>97</v>
      </c>
      <c r="K31">
        <v>33721</v>
      </c>
      <c r="L31">
        <f>campaign_data[[#This Row],[Clicks]]/campaign_data[[#This Row],[Impressions]]</f>
        <v>8.9823030783720809E-2</v>
      </c>
      <c r="M31">
        <f>campaign_data[[#This Row],[Leads]]/campaign_data[[#This Row],[Clicks]]</f>
        <v>0.11341059602649006</v>
      </c>
      <c r="N31">
        <f>campaign_data[[#This Row],[Conversions]]/campaign_data[[#This Row],[Leads]]</f>
        <v>0.11800486618004866</v>
      </c>
      <c r="O31">
        <f>campaign_data[[#This Row],[Spend]]/campaign_data[[#This Row],[Leads]]</f>
        <v>5.9026763990267641</v>
      </c>
      <c r="P31">
        <f>IF(campaign_data[[#This Row],[Conversions]] &gt; 0, campaign_data[[#This Row],[Spend]]/campaign_data[[#This Row],[Conversions]], 0)</f>
        <v>50.020618556701031</v>
      </c>
      <c r="Q31">
        <f>IF(campaign_data[[#This Row],[Spend]]&gt;0, (campaign_data[[#This Row],[Revenue]]-campaign_data[[#This Row],[Spend]])/campaign_data[[#This Row],[Spend]],0)</f>
        <v>5.9499175597691671</v>
      </c>
      <c r="R31">
        <f>campaign_data[[#This Row],[Revenue]]-campaign_data[[#This Row],[Spend]]</f>
        <v>28869</v>
      </c>
    </row>
    <row r="32" spans="1:18" x14ac:dyDescent="0.25">
      <c r="A32" t="s">
        <v>49</v>
      </c>
      <c r="B32" t="s">
        <v>12</v>
      </c>
      <c r="C32" t="s">
        <v>19</v>
      </c>
      <c r="D32" s="1">
        <v>45457</v>
      </c>
      <c r="E32" s="1">
        <v>45477</v>
      </c>
      <c r="F32">
        <v>831</v>
      </c>
      <c r="G32">
        <v>7091</v>
      </c>
      <c r="H32">
        <v>1275</v>
      </c>
      <c r="I32">
        <v>211</v>
      </c>
      <c r="J32">
        <v>31</v>
      </c>
      <c r="K32">
        <v>14398</v>
      </c>
      <c r="L32">
        <f>campaign_data[[#This Row],[Clicks]]/campaign_data[[#This Row],[Impressions]]</f>
        <v>0.17980538711042166</v>
      </c>
      <c r="M32">
        <f>campaign_data[[#This Row],[Leads]]/campaign_data[[#This Row],[Clicks]]</f>
        <v>0.16549019607843138</v>
      </c>
      <c r="N32">
        <f>campaign_data[[#This Row],[Conversions]]/campaign_data[[#This Row],[Leads]]</f>
        <v>0.14691943127962084</v>
      </c>
      <c r="O32">
        <f>campaign_data[[#This Row],[Spend]]/campaign_data[[#This Row],[Leads]]</f>
        <v>3.9383886255924172</v>
      </c>
      <c r="P32">
        <f>IF(campaign_data[[#This Row],[Conversions]] &gt; 0, campaign_data[[#This Row],[Spend]]/campaign_data[[#This Row],[Conversions]], 0)</f>
        <v>26.806451612903224</v>
      </c>
      <c r="Q32">
        <f>IF(campaign_data[[#This Row],[Spend]]&gt;0, (campaign_data[[#This Row],[Revenue]]-campaign_data[[#This Row],[Spend]])/campaign_data[[#This Row],[Spend]],0)</f>
        <v>16.326113116726834</v>
      </c>
      <c r="R32">
        <f>campaign_data[[#This Row],[Revenue]]-campaign_data[[#This Row],[Spend]]</f>
        <v>13567</v>
      </c>
    </row>
    <row r="33" spans="1:18" x14ac:dyDescent="0.25">
      <c r="A33" t="s">
        <v>50</v>
      </c>
      <c r="B33" t="s">
        <v>15</v>
      </c>
      <c r="C33" t="s">
        <v>21</v>
      </c>
      <c r="D33" s="1">
        <v>45462</v>
      </c>
      <c r="E33" s="1">
        <v>45477</v>
      </c>
      <c r="F33">
        <v>4724</v>
      </c>
      <c r="G33">
        <v>62584</v>
      </c>
      <c r="H33">
        <v>3189</v>
      </c>
      <c r="I33">
        <v>372</v>
      </c>
      <c r="J33">
        <v>23</v>
      </c>
      <c r="K33">
        <v>11278</v>
      </c>
      <c r="L33">
        <f>campaign_data[[#This Row],[Clicks]]/campaign_data[[#This Row],[Impressions]]</f>
        <v>5.0955515786782563E-2</v>
      </c>
      <c r="M33">
        <f>campaign_data[[#This Row],[Leads]]/campaign_data[[#This Row],[Clicks]]</f>
        <v>0.11665098777046096</v>
      </c>
      <c r="N33">
        <f>campaign_data[[#This Row],[Conversions]]/campaign_data[[#This Row],[Leads]]</f>
        <v>6.1827956989247312E-2</v>
      </c>
      <c r="O33">
        <f>campaign_data[[#This Row],[Spend]]/campaign_data[[#This Row],[Leads]]</f>
        <v>12.698924731182796</v>
      </c>
      <c r="P33">
        <f>IF(campaign_data[[#This Row],[Conversions]] &gt; 0, campaign_data[[#This Row],[Spend]]/campaign_data[[#This Row],[Conversions]], 0)</f>
        <v>205.39130434782609</v>
      </c>
      <c r="Q33">
        <f>IF(campaign_data[[#This Row],[Spend]]&gt;0, (campaign_data[[#This Row],[Revenue]]-campaign_data[[#This Row],[Spend]])/campaign_data[[#This Row],[Spend]],0)</f>
        <v>1.3873835732430144</v>
      </c>
      <c r="R33">
        <f>campaign_data[[#This Row],[Revenue]]-campaign_data[[#This Row],[Spend]]</f>
        <v>6554</v>
      </c>
    </row>
    <row r="34" spans="1:18" x14ac:dyDescent="0.25">
      <c r="A34" t="s">
        <v>51</v>
      </c>
      <c r="B34" t="s">
        <v>18</v>
      </c>
      <c r="C34" t="s">
        <v>13</v>
      </c>
      <c r="D34" s="1">
        <v>45468</v>
      </c>
      <c r="E34" s="1">
        <v>45505</v>
      </c>
      <c r="F34">
        <v>9902</v>
      </c>
      <c r="G34">
        <v>135945</v>
      </c>
      <c r="H34">
        <v>6732</v>
      </c>
      <c r="I34">
        <v>821</v>
      </c>
      <c r="J34">
        <v>72</v>
      </c>
      <c r="K34">
        <v>29963</v>
      </c>
      <c r="L34">
        <f>campaign_data[[#This Row],[Clicks]]/campaign_data[[#This Row],[Impressions]]</f>
        <v>4.9520026481297587E-2</v>
      </c>
      <c r="M34">
        <f>campaign_data[[#This Row],[Leads]]/campaign_data[[#This Row],[Clicks]]</f>
        <v>0.12195484254307784</v>
      </c>
      <c r="N34">
        <f>campaign_data[[#This Row],[Conversions]]/campaign_data[[#This Row],[Leads]]</f>
        <v>8.76979293544458E-2</v>
      </c>
      <c r="O34">
        <f>campaign_data[[#This Row],[Spend]]/campaign_data[[#This Row],[Leads]]</f>
        <v>12.060901339829476</v>
      </c>
      <c r="P34">
        <f>IF(campaign_data[[#This Row],[Conversions]] &gt; 0, campaign_data[[#This Row],[Spend]]/campaign_data[[#This Row],[Conversions]], 0)</f>
        <v>137.52777777777777</v>
      </c>
      <c r="Q34">
        <f>IF(campaign_data[[#This Row],[Spend]]&gt;0, (campaign_data[[#This Row],[Revenue]]-campaign_data[[#This Row],[Spend]])/campaign_data[[#This Row],[Spend]],0)</f>
        <v>2.0259543526560293</v>
      </c>
      <c r="R34">
        <f>campaign_data[[#This Row],[Revenue]]-campaign_data[[#This Row],[Spend]]</f>
        <v>20061</v>
      </c>
    </row>
    <row r="35" spans="1:18" x14ac:dyDescent="0.25">
      <c r="A35" t="s">
        <v>52</v>
      </c>
      <c r="B35" t="s">
        <v>18</v>
      </c>
      <c r="C35" t="s">
        <v>16</v>
      </c>
      <c r="D35" s="1">
        <v>45473</v>
      </c>
      <c r="E35" s="1">
        <v>45508</v>
      </c>
      <c r="F35">
        <v>2256</v>
      </c>
      <c r="G35">
        <v>150678</v>
      </c>
      <c r="H35">
        <v>4753</v>
      </c>
      <c r="I35">
        <v>593</v>
      </c>
      <c r="J35">
        <v>46</v>
      </c>
      <c r="K35">
        <v>17780</v>
      </c>
      <c r="L35">
        <f>campaign_data[[#This Row],[Clicks]]/campaign_data[[#This Row],[Impressions]]</f>
        <v>3.1544087391656379E-2</v>
      </c>
      <c r="M35">
        <f>campaign_data[[#This Row],[Leads]]/campaign_data[[#This Row],[Clicks]]</f>
        <v>0.12476330738480959</v>
      </c>
      <c r="N35">
        <f>campaign_data[[#This Row],[Conversions]]/campaign_data[[#This Row],[Leads]]</f>
        <v>7.7571669477234401E-2</v>
      </c>
      <c r="O35">
        <f>campaign_data[[#This Row],[Spend]]/campaign_data[[#This Row],[Leads]]</f>
        <v>3.8043844856661044</v>
      </c>
      <c r="P35">
        <f>IF(campaign_data[[#This Row],[Conversions]] &gt; 0, campaign_data[[#This Row],[Spend]]/campaign_data[[#This Row],[Conversions]], 0)</f>
        <v>49.043478260869563</v>
      </c>
      <c r="Q35">
        <f>IF(campaign_data[[#This Row],[Spend]]&gt;0, (campaign_data[[#This Row],[Revenue]]-campaign_data[[#This Row],[Spend]])/campaign_data[[#This Row],[Spend]],0)</f>
        <v>6.8812056737588652</v>
      </c>
      <c r="R35">
        <f>campaign_data[[#This Row],[Revenue]]-campaign_data[[#This Row],[Spend]]</f>
        <v>15524</v>
      </c>
    </row>
    <row r="36" spans="1:18" x14ac:dyDescent="0.25">
      <c r="A36" t="s">
        <v>53</v>
      </c>
      <c r="B36" t="s">
        <v>12</v>
      </c>
      <c r="C36" t="s">
        <v>19</v>
      </c>
      <c r="D36" s="1">
        <v>45479</v>
      </c>
      <c r="E36" s="1">
        <v>45519</v>
      </c>
      <c r="F36">
        <v>1274</v>
      </c>
      <c r="G36">
        <v>12105</v>
      </c>
      <c r="H36">
        <v>1857</v>
      </c>
      <c r="I36">
        <v>268</v>
      </c>
      <c r="J36">
        <v>40</v>
      </c>
      <c r="K36">
        <v>9060</v>
      </c>
      <c r="L36">
        <f>campaign_data[[#This Row],[Clicks]]/campaign_data[[#This Row],[Impressions]]</f>
        <v>0.15340768277571251</v>
      </c>
      <c r="M36">
        <f>campaign_data[[#This Row],[Leads]]/campaign_data[[#This Row],[Clicks]]</f>
        <v>0.14431879375336565</v>
      </c>
      <c r="N36">
        <f>campaign_data[[#This Row],[Conversions]]/campaign_data[[#This Row],[Leads]]</f>
        <v>0.14925373134328357</v>
      </c>
      <c r="O36">
        <f>campaign_data[[#This Row],[Spend]]/campaign_data[[#This Row],[Leads]]</f>
        <v>4.7537313432835822</v>
      </c>
      <c r="P36">
        <f>IF(campaign_data[[#This Row],[Conversions]] &gt; 0, campaign_data[[#This Row],[Spend]]/campaign_data[[#This Row],[Conversions]], 0)</f>
        <v>31.85</v>
      </c>
      <c r="Q36">
        <f>IF(campaign_data[[#This Row],[Spend]]&gt;0, (campaign_data[[#This Row],[Revenue]]-campaign_data[[#This Row],[Spend]])/campaign_data[[#This Row],[Spend]],0)</f>
        <v>6.1114599686028255</v>
      </c>
      <c r="R36">
        <f>campaign_data[[#This Row],[Revenue]]-campaign_data[[#This Row],[Spend]]</f>
        <v>7786</v>
      </c>
    </row>
    <row r="37" spans="1:18" x14ac:dyDescent="0.25">
      <c r="A37" t="s">
        <v>54</v>
      </c>
      <c r="B37" t="s">
        <v>15</v>
      </c>
      <c r="C37" t="s">
        <v>21</v>
      </c>
      <c r="D37" s="1">
        <v>45484</v>
      </c>
      <c r="E37" s="1">
        <v>45508</v>
      </c>
      <c r="F37">
        <v>3354</v>
      </c>
      <c r="G37">
        <v>39422</v>
      </c>
      <c r="H37">
        <v>2949</v>
      </c>
      <c r="I37">
        <v>360</v>
      </c>
      <c r="J37">
        <v>37</v>
      </c>
      <c r="K37">
        <v>11793</v>
      </c>
      <c r="L37">
        <f>campaign_data[[#This Row],[Clicks]]/campaign_data[[#This Row],[Impressions]]</f>
        <v>7.4805945918522646E-2</v>
      </c>
      <c r="M37">
        <f>campaign_data[[#This Row],[Leads]]/campaign_data[[#This Row],[Clicks]]</f>
        <v>0.12207527975584945</v>
      </c>
      <c r="N37">
        <f>campaign_data[[#This Row],[Conversions]]/campaign_data[[#This Row],[Leads]]</f>
        <v>0.10277777777777777</v>
      </c>
      <c r="O37">
        <f>campaign_data[[#This Row],[Spend]]/campaign_data[[#This Row],[Leads]]</f>
        <v>9.3166666666666664</v>
      </c>
      <c r="P37">
        <f>IF(campaign_data[[#This Row],[Conversions]] &gt; 0, campaign_data[[#This Row],[Spend]]/campaign_data[[#This Row],[Conversions]], 0)</f>
        <v>90.648648648648646</v>
      </c>
      <c r="Q37">
        <f>IF(campaign_data[[#This Row],[Spend]]&gt;0, (campaign_data[[#This Row],[Revenue]]-campaign_data[[#This Row],[Spend]])/campaign_data[[#This Row],[Spend]],0)</f>
        <v>2.5161001788908766</v>
      </c>
      <c r="R37">
        <f>campaign_data[[#This Row],[Revenue]]-campaign_data[[#This Row],[Spend]]</f>
        <v>8439</v>
      </c>
    </row>
    <row r="38" spans="1:18" x14ac:dyDescent="0.25">
      <c r="A38" t="s">
        <v>55</v>
      </c>
      <c r="B38" t="s">
        <v>31</v>
      </c>
      <c r="C38" t="s">
        <v>13</v>
      </c>
      <c r="D38" s="1">
        <v>45490</v>
      </c>
      <c r="E38" s="1">
        <v>45505</v>
      </c>
      <c r="F38">
        <v>837</v>
      </c>
      <c r="G38">
        <v>3121</v>
      </c>
      <c r="H38">
        <v>804</v>
      </c>
      <c r="I38">
        <v>399</v>
      </c>
      <c r="J38">
        <v>82</v>
      </c>
      <c r="K38">
        <v>24082</v>
      </c>
      <c r="L38">
        <f>campaign_data[[#This Row],[Clicks]]/campaign_data[[#This Row],[Impressions]]</f>
        <v>0.25760974046779878</v>
      </c>
      <c r="M38">
        <f>campaign_data[[#This Row],[Leads]]/campaign_data[[#This Row],[Clicks]]</f>
        <v>0.4962686567164179</v>
      </c>
      <c r="N38">
        <f>campaign_data[[#This Row],[Conversions]]/campaign_data[[#This Row],[Leads]]</f>
        <v>0.20551378446115287</v>
      </c>
      <c r="O38">
        <f>campaign_data[[#This Row],[Spend]]/campaign_data[[#This Row],[Leads]]</f>
        <v>2.0977443609022557</v>
      </c>
      <c r="P38">
        <f>IF(campaign_data[[#This Row],[Conversions]] &gt; 0, campaign_data[[#This Row],[Spend]]/campaign_data[[#This Row],[Conversions]], 0)</f>
        <v>10.207317073170731</v>
      </c>
      <c r="Q38">
        <f>IF(campaign_data[[#This Row],[Spend]]&gt;0, (campaign_data[[#This Row],[Revenue]]-campaign_data[[#This Row],[Spend]])/campaign_data[[#This Row],[Spend]],0)</f>
        <v>27.771804062126641</v>
      </c>
      <c r="R38">
        <f>campaign_data[[#This Row],[Revenue]]-campaign_data[[#This Row],[Spend]]</f>
        <v>23245</v>
      </c>
    </row>
    <row r="39" spans="1:18" x14ac:dyDescent="0.25">
      <c r="A39" t="s">
        <v>56</v>
      </c>
      <c r="B39" t="s">
        <v>31</v>
      </c>
      <c r="C39" t="s">
        <v>16</v>
      </c>
      <c r="D39" s="1">
        <v>45495</v>
      </c>
      <c r="E39" s="1">
        <v>45517</v>
      </c>
      <c r="F39">
        <v>498</v>
      </c>
      <c r="G39">
        <v>2805</v>
      </c>
      <c r="H39">
        <v>710</v>
      </c>
      <c r="I39">
        <v>264</v>
      </c>
      <c r="J39">
        <v>70</v>
      </c>
      <c r="K39">
        <v>31041</v>
      </c>
      <c r="L39">
        <f>campaign_data[[#This Row],[Clicks]]/campaign_data[[#This Row],[Impressions]]</f>
        <v>0.25311942959001782</v>
      </c>
      <c r="M39">
        <f>campaign_data[[#This Row],[Leads]]/campaign_data[[#This Row],[Clicks]]</f>
        <v>0.37183098591549296</v>
      </c>
      <c r="N39">
        <f>campaign_data[[#This Row],[Conversions]]/campaign_data[[#This Row],[Leads]]</f>
        <v>0.26515151515151514</v>
      </c>
      <c r="O39">
        <f>campaign_data[[#This Row],[Spend]]/campaign_data[[#This Row],[Leads]]</f>
        <v>1.8863636363636365</v>
      </c>
      <c r="P39">
        <f>IF(campaign_data[[#This Row],[Conversions]] &gt; 0, campaign_data[[#This Row],[Spend]]/campaign_data[[#This Row],[Conversions]], 0)</f>
        <v>7.1142857142857139</v>
      </c>
      <c r="Q39">
        <f>IF(campaign_data[[#This Row],[Spend]]&gt;0, (campaign_data[[#This Row],[Revenue]]-campaign_data[[#This Row],[Spend]])/campaign_data[[#This Row],[Spend]],0)</f>
        <v>61.331325301204821</v>
      </c>
      <c r="R39">
        <f>campaign_data[[#This Row],[Revenue]]-campaign_data[[#This Row],[Spend]]</f>
        <v>30543</v>
      </c>
    </row>
    <row r="40" spans="1:18" x14ac:dyDescent="0.25">
      <c r="A40" t="s">
        <v>57</v>
      </c>
      <c r="B40" t="s">
        <v>18</v>
      </c>
      <c r="C40" t="s">
        <v>19</v>
      </c>
      <c r="D40" s="1">
        <v>45501</v>
      </c>
      <c r="E40" s="1">
        <v>45538</v>
      </c>
      <c r="F40">
        <v>7991</v>
      </c>
      <c r="G40">
        <v>170421</v>
      </c>
      <c r="H40">
        <v>3921</v>
      </c>
      <c r="I40">
        <v>361</v>
      </c>
      <c r="J40">
        <v>19</v>
      </c>
      <c r="K40">
        <v>7923</v>
      </c>
      <c r="L40">
        <f>campaign_data[[#This Row],[Clicks]]/campaign_data[[#This Row],[Impressions]]</f>
        <v>2.3007727920854825E-2</v>
      </c>
      <c r="M40">
        <f>campaign_data[[#This Row],[Leads]]/campaign_data[[#This Row],[Clicks]]</f>
        <v>9.2068349910737063E-2</v>
      </c>
      <c r="N40">
        <f>campaign_data[[#This Row],[Conversions]]/campaign_data[[#This Row],[Leads]]</f>
        <v>5.2631578947368418E-2</v>
      </c>
      <c r="O40">
        <f>campaign_data[[#This Row],[Spend]]/campaign_data[[#This Row],[Leads]]</f>
        <v>22.13573407202216</v>
      </c>
      <c r="P40">
        <f>IF(campaign_data[[#This Row],[Conversions]] &gt; 0, campaign_data[[#This Row],[Spend]]/campaign_data[[#This Row],[Conversions]], 0)</f>
        <v>420.57894736842104</v>
      </c>
      <c r="Q40">
        <f>IF(campaign_data[[#This Row],[Spend]]&gt;0, (campaign_data[[#This Row],[Revenue]]-campaign_data[[#This Row],[Spend]])/campaign_data[[#This Row],[Spend]],0)</f>
        <v>-8.5095732699286691E-3</v>
      </c>
      <c r="R40">
        <f>campaign_data[[#This Row],[Revenue]]-campaign_data[[#This Row],[Spend]]</f>
        <v>-68</v>
      </c>
    </row>
    <row r="41" spans="1:18" x14ac:dyDescent="0.25">
      <c r="A41" t="s">
        <v>58</v>
      </c>
      <c r="B41" t="s">
        <v>12</v>
      </c>
      <c r="C41" t="s">
        <v>21</v>
      </c>
      <c r="D41" s="1">
        <v>45506</v>
      </c>
      <c r="E41" s="1">
        <v>45549</v>
      </c>
      <c r="F41">
        <v>1306</v>
      </c>
      <c r="G41">
        <v>11854</v>
      </c>
      <c r="H41">
        <v>2366</v>
      </c>
      <c r="I41">
        <v>417</v>
      </c>
      <c r="J41">
        <v>52</v>
      </c>
      <c r="K41">
        <v>22439</v>
      </c>
      <c r="L41">
        <f>campaign_data[[#This Row],[Clicks]]/campaign_data[[#This Row],[Impressions]]</f>
        <v>0.19959507339294752</v>
      </c>
      <c r="M41">
        <f>campaign_data[[#This Row],[Leads]]/campaign_data[[#This Row],[Clicks]]</f>
        <v>0.17624683009298395</v>
      </c>
      <c r="N41">
        <f>campaign_data[[#This Row],[Conversions]]/campaign_data[[#This Row],[Leads]]</f>
        <v>0.12470023980815348</v>
      </c>
      <c r="O41">
        <f>campaign_data[[#This Row],[Spend]]/campaign_data[[#This Row],[Leads]]</f>
        <v>3.1318944844124701</v>
      </c>
      <c r="P41">
        <f>IF(campaign_data[[#This Row],[Conversions]] &gt; 0, campaign_data[[#This Row],[Spend]]/campaign_data[[#This Row],[Conversions]], 0)</f>
        <v>25.115384615384617</v>
      </c>
      <c r="Q41">
        <f>IF(campaign_data[[#This Row],[Spend]]&gt;0, (campaign_data[[#This Row],[Revenue]]-campaign_data[[#This Row],[Spend]])/campaign_data[[#This Row],[Spend]],0)</f>
        <v>16.181470137825421</v>
      </c>
      <c r="R41">
        <f>campaign_data[[#This Row],[Revenue]]-campaign_data[[#This Row],[Spend]]</f>
        <v>21133</v>
      </c>
    </row>
    <row r="42" spans="1:18" x14ac:dyDescent="0.25">
      <c r="A42" t="s">
        <v>59</v>
      </c>
      <c r="B42" t="s">
        <v>18</v>
      </c>
      <c r="C42" t="s">
        <v>13</v>
      </c>
      <c r="D42" s="1">
        <v>45512</v>
      </c>
      <c r="E42" s="1">
        <v>45529</v>
      </c>
      <c r="F42">
        <v>4119</v>
      </c>
      <c r="G42">
        <v>201052</v>
      </c>
      <c r="H42">
        <v>7909</v>
      </c>
      <c r="I42">
        <v>711</v>
      </c>
      <c r="J42">
        <v>52</v>
      </c>
      <c r="K42">
        <v>17310</v>
      </c>
      <c r="L42">
        <f>campaign_data[[#This Row],[Clicks]]/campaign_data[[#This Row],[Impressions]]</f>
        <v>3.9338081690308974E-2</v>
      </c>
      <c r="M42">
        <f>campaign_data[[#This Row],[Leads]]/campaign_data[[#This Row],[Clicks]]</f>
        <v>8.9897585029712984E-2</v>
      </c>
      <c r="N42">
        <f>campaign_data[[#This Row],[Conversions]]/campaign_data[[#This Row],[Leads]]</f>
        <v>7.3136427566807313E-2</v>
      </c>
      <c r="O42">
        <f>campaign_data[[#This Row],[Spend]]/campaign_data[[#This Row],[Leads]]</f>
        <v>5.7932489451476794</v>
      </c>
      <c r="P42">
        <f>IF(campaign_data[[#This Row],[Conversions]] &gt; 0, campaign_data[[#This Row],[Spend]]/campaign_data[[#This Row],[Conversions]], 0)</f>
        <v>79.211538461538467</v>
      </c>
      <c r="Q42">
        <f>IF(campaign_data[[#This Row],[Spend]]&gt;0, (campaign_data[[#This Row],[Revenue]]-campaign_data[[#This Row],[Spend]])/campaign_data[[#This Row],[Spend]],0)</f>
        <v>3.2024763292061178</v>
      </c>
      <c r="R42">
        <f>campaign_data[[#This Row],[Revenue]]-campaign_data[[#This Row],[Spend]]</f>
        <v>13191</v>
      </c>
    </row>
    <row r="43" spans="1:18" x14ac:dyDescent="0.25">
      <c r="A43" t="s">
        <v>60</v>
      </c>
      <c r="B43" t="s">
        <v>15</v>
      </c>
      <c r="C43" t="s">
        <v>16</v>
      </c>
      <c r="D43" s="1">
        <v>45517</v>
      </c>
      <c r="E43" s="1">
        <v>45556</v>
      </c>
      <c r="F43">
        <v>4077</v>
      </c>
      <c r="G43">
        <v>20742</v>
      </c>
      <c r="H43">
        <v>1188</v>
      </c>
      <c r="I43">
        <v>135</v>
      </c>
      <c r="J43">
        <v>17</v>
      </c>
      <c r="K43">
        <v>7567</v>
      </c>
      <c r="L43">
        <f>campaign_data[[#This Row],[Clicks]]/campaign_data[[#This Row],[Impressions]]</f>
        <v>5.7275094012149259E-2</v>
      </c>
      <c r="M43">
        <f>campaign_data[[#This Row],[Leads]]/campaign_data[[#This Row],[Clicks]]</f>
        <v>0.11363636363636363</v>
      </c>
      <c r="N43">
        <f>campaign_data[[#This Row],[Conversions]]/campaign_data[[#This Row],[Leads]]</f>
        <v>0.12592592592592591</v>
      </c>
      <c r="O43">
        <f>campaign_data[[#This Row],[Spend]]/campaign_data[[#This Row],[Leads]]</f>
        <v>30.2</v>
      </c>
      <c r="P43">
        <f>IF(campaign_data[[#This Row],[Conversions]] &gt; 0, campaign_data[[#This Row],[Spend]]/campaign_data[[#This Row],[Conversions]], 0)</f>
        <v>239.8235294117647</v>
      </c>
      <c r="Q43">
        <f>IF(campaign_data[[#This Row],[Spend]]&gt;0, (campaign_data[[#This Row],[Revenue]]-campaign_data[[#This Row],[Spend]])/campaign_data[[#This Row],[Spend]],0)</f>
        <v>0.85602158449840571</v>
      </c>
      <c r="R43">
        <f>campaign_data[[#This Row],[Revenue]]-campaign_data[[#This Row],[Spend]]</f>
        <v>3490</v>
      </c>
    </row>
    <row r="44" spans="1:18" x14ac:dyDescent="0.25">
      <c r="A44" t="s">
        <v>61</v>
      </c>
      <c r="B44" t="s">
        <v>18</v>
      </c>
      <c r="C44" t="s">
        <v>19</v>
      </c>
      <c r="D44" s="1">
        <v>45523</v>
      </c>
      <c r="E44" s="1">
        <v>45556</v>
      </c>
      <c r="F44">
        <v>9207</v>
      </c>
      <c r="G44">
        <v>221158</v>
      </c>
      <c r="H44">
        <v>6042</v>
      </c>
      <c r="I44">
        <v>654</v>
      </c>
      <c r="J44">
        <v>37</v>
      </c>
      <c r="K44">
        <v>5779</v>
      </c>
      <c r="L44">
        <f>campaign_data[[#This Row],[Clicks]]/campaign_data[[#This Row],[Impressions]]</f>
        <v>2.7319834688322376E-2</v>
      </c>
      <c r="M44">
        <f>campaign_data[[#This Row],[Leads]]/campaign_data[[#This Row],[Clicks]]</f>
        <v>0.10824230387288977</v>
      </c>
      <c r="N44">
        <f>campaign_data[[#This Row],[Conversions]]/campaign_data[[#This Row],[Leads]]</f>
        <v>5.657492354740061E-2</v>
      </c>
      <c r="O44">
        <f>campaign_data[[#This Row],[Spend]]/campaign_data[[#This Row],[Leads]]</f>
        <v>14.077981651376147</v>
      </c>
      <c r="P44">
        <f>IF(campaign_data[[#This Row],[Conversions]] &gt; 0, campaign_data[[#This Row],[Spend]]/campaign_data[[#This Row],[Conversions]], 0)</f>
        <v>248.83783783783784</v>
      </c>
      <c r="Q44">
        <f>IF(campaign_data[[#This Row],[Spend]]&gt;0, (campaign_data[[#This Row],[Revenue]]-campaign_data[[#This Row],[Spend]])/campaign_data[[#This Row],[Spend]],0)</f>
        <v>-0.37232540458346908</v>
      </c>
      <c r="R44">
        <f>campaign_data[[#This Row],[Revenue]]-campaign_data[[#This Row],[Spend]]</f>
        <v>-3428</v>
      </c>
    </row>
    <row r="45" spans="1:18" x14ac:dyDescent="0.25">
      <c r="A45" t="s">
        <v>62</v>
      </c>
      <c r="B45" t="s">
        <v>15</v>
      </c>
      <c r="C45" t="s">
        <v>21</v>
      </c>
      <c r="D45" s="1">
        <v>45528</v>
      </c>
      <c r="E45" s="1">
        <v>45565</v>
      </c>
      <c r="F45">
        <v>3540</v>
      </c>
      <c r="G45">
        <v>33306</v>
      </c>
      <c r="H45">
        <v>3029</v>
      </c>
      <c r="I45">
        <v>415</v>
      </c>
      <c r="J45">
        <v>27</v>
      </c>
      <c r="K45">
        <v>7574</v>
      </c>
      <c r="L45">
        <f>campaign_data[[#This Row],[Clicks]]/campaign_data[[#This Row],[Impressions]]</f>
        <v>9.0944574551131932E-2</v>
      </c>
      <c r="M45">
        <f>campaign_data[[#This Row],[Leads]]/campaign_data[[#This Row],[Clicks]]</f>
        <v>0.13700891383294816</v>
      </c>
      <c r="N45">
        <f>campaign_data[[#This Row],[Conversions]]/campaign_data[[#This Row],[Leads]]</f>
        <v>6.5060240963855417E-2</v>
      </c>
      <c r="O45">
        <f>campaign_data[[#This Row],[Spend]]/campaign_data[[#This Row],[Leads]]</f>
        <v>8.5301204819277103</v>
      </c>
      <c r="P45">
        <f>IF(campaign_data[[#This Row],[Conversions]] &gt; 0, campaign_data[[#This Row],[Spend]]/campaign_data[[#This Row],[Conversions]], 0)</f>
        <v>131.11111111111111</v>
      </c>
      <c r="Q45">
        <f>IF(campaign_data[[#This Row],[Spend]]&gt;0, (campaign_data[[#This Row],[Revenue]]-campaign_data[[#This Row],[Spend]])/campaign_data[[#This Row],[Spend]],0)</f>
        <v>1.1395480225988701</v>
      </c>
      <c r="R45">
        <f>campaign_data[[#This Row],[Revenue]]-campaign_data[[#This Row],[Spend]]</f>
        <v>4034</v>
      </c>
    </row>
    <row r="46" spans="1:18" x14ac:dyDescent="0.25">
      <c r="A46" t="s">
        <v>63</v>
      </c>
      <c r="B46" t="s">
        <v>12</v>
      </c>
      <c r="C46" t="s">
        <v>13</v>
      </c>
      <c r="D46" s="1">
        <v>45534</v>
      </c>
      <c r="E46" s="1">
        <v>45560</v>
      </c>
      <c r="F46">
        <v>1869</v>
      </c>
      <c r="G46">
        <v>10559</v>
      </c>
      <c r="H46">
        <v>2141</v>
      </c>
      <c r="I46">
        <v>376</v>
      </c>
      <c r="J46">
        <v>40</v>
      </c>
      <c r="K46">
        <v>7803</v>
      </c>
      <c r="L46">
        <f>campaign_data[[#This Row],[Clicks]]/campaign_data[[#This Row],[Impressions]]</f>
        <v>0.20276541339141965</v>
      </c>
      <c r="M46">
        <f>campaign_data[[#This Row],[Leads]]/campaign_data[[#This Row],[Clicks]]</f>
        <v>0.17561886968706211</v>
      </c>
      <c r="N46">
        <f>campaign_data[[#This Row],[Conversions]]/campaign_data[[#This Row],[Leads]]</f>
        <v>0.10638297872340426</v>
      </c>
      <c r="O46">
        <f>campaign_data[[#This Row],[Spend]]/campaign_data[[#This Row],[Leads]]</f>
        <v>4.9707446808510642</v>
      </c>
      <c r="P46">
        <f>IF(campaign_data[[#This Row],[Conversions]] &gt; 0, campaign_data[[#This Row],[Spend]]/campaign_data[[#This Row],[Conversions]], 0)</f>
        <v>46.725000000000001</v>
      </c>
      <c r="Q46">
        <f>IF(campaign_data[[#This Row],[Spend]]&gt;0, (campaign_data[[#This Row],[Revenue]]-campaign_data[[#This Row],[Spend]])/campaign_data[[#This Row],[Spend]],0)</f>
        <v>3.1749598715890852</v>
      </c>
      <c r="R46">
        <f>campaign_data[[#This Row],[Revenue]]-campaign_data[[#This Row],[Spend]]</f>
        <v>5934</v>
      </c>
    </row>
    <row r="47" spans="1:18" x14ac:dyDescent="0.25">
      <c r="A47" t="s">
        <v>64</v>
      </c>
      <c r="B47" t="s">
        <v>15</v>
      </c>
      <c r="C47" t="s">
        <v>16</v>
      </c>
      <c r="D47" s="1">
        <v>45539</v>
      </c>
      <c r="E47" s="1">
        <v>45572</v>
      </c>
      <c r="F47">
        <v>2458</v>
      </c>
      <c r="G47">
        <v>91127</v>
      </c>
      <c r="H47">
        <v>8975</v>
      </c>
      <c r="I47">
        <v>887</v>
      </c>
      <c r="J47">
        <v>74</v>
      </c>
      <c r="K47">
        <v>13692</v>
      </c>
      <c r="L47">
        <f>campaign_data[[#This Row],[Clicks]]/campaign_data[[#This Row],[Impressions]]</f>
        <v>9.8488922053836955E-2</v>
      </c>
      <c r="M47">
        <f>campaign_data[[#This Row],[Leads]]/campaign_data[[#This Row],[Clicks]]</f>
        <v>9.8830083565459609E-2</v>
      </c>
      <c r="N47">
        <f>campaign_data[[#This Row],[Conversions]]/campaign_data[[#This Row],[Leads]]</f>
        <v>8.3427282976324693E-2</v>
      </c>
      <c r="O47">
        <f>campaign_data[[#This Row],[Spend]]/campaign_data[[#This Row],[Leads]]</f>
        <v>2.7711386696730553</v>
      </c>
      <c r="P47">
        <f>IF(campaign_data[[#This Row],[Conversions]] &gt; 0, campaign_data[[#This Row],[Spend]]/campaign_data[[#This Row],[Conversions]], 0)</f>
        <v>33.216216216216218</v>
      </c>
      <c r="Q47">
        <f>IF(campaign_data[[#This Row],[Spend]]&gt;0, (campaign_data[[#This Row],[Revenue]]-campaign_data[[#This Row],[Spend]])/campaign_data[[#This Row],[Spend]],0)</f>
        <v>4.5703824247355573</v>
      </c>
      <c r="R47">
        <f>campaign_data[[#This Row],[Revenue]]-campaign_data[[#This Row],[Spend]]</f>
        <v>11234</v>
      </c>
    </row>
    <row r="48" spans="1:18" x14ac:dyDescent="0.25">
      <c r="A48" t="s">
        <v>65</v>
      </c>
      <c r="B48" t="s">
        <v>15</v>
      </c>
      <c r="C48" t="s">
        <v>19</v>
      </c>
      <c r="D48" s="1">
        <v>45545</v>
      </c>
      <c r="E48" s="1">
        <v>45587</v>
      </c>
      <c r="F48">
        <v>4010</v>
      </c>
      <c r="G48">
        <v>93102</v>
      </c>
      <c r="H48">
        <v>7802</v>
      </c>
      <c r="I48">
        <v>857</v>
      </c>
      <c r="J48">
        <v>95</v>
      </c>
      <c r="K48">
        <v>44495</v>
      </c>
      <c r="L48">
        <f>campaign_data[[#This Row],[Clicks]]/campaign_data[[#This Row],[Impressions]]</f>
        <v>8.3800562823569846E-2</v>
      </c>
      <c r="M48">
        <f>campaign_data[[#This Row],[Leads]]/campaign_data[[#This Row],[Clicks]]</f>
        <v>0.10984362983850295</v>
      </c>
      <c r="N48">
        <f>campaign_data[[#This Row],[Conversions]]/campaign_data[[#This Row],[Leads]]</f>
        <v>0.11085180863477247</v>
      </c>
      <c r="O48">
        <f>campaign_data[[#This Row],[Spend]]/campaign_data[[#This Row],[Leads]]</f>
        <v>4.6791131855309223</v>
      </c>
      <c r="P48">
        <f>IF(campaign_data[[#This Row],[Conversions]] &gt; 0, campaign_data[[#This Row],[Spend]]/campaign_data[[#This Row],[Conversions]], 0)</f>
        <v>42.210526315789473</v>
      </c>
      <c r="Q48">
        <f>IF(campaign_data[[#This Row],[Spend]]&gt;0, (campaign_data[[#This Row],[Revenue]]-campaign_data[[#This Row],[Spend]])/campaign_data[[#This Row],[Spend]],0)</f>
        <v>10.096009975062344</v>
      </c>
      <c r="R48">
        <f>campaign_data[[#This Row],[Revenue]]-campaign_data[[#This Row],[Spend]]</f>
        <v>40485</v>
      </c>
    </row>
    <row r="49" spans="1:18" x14ac:dyDescent="0.25">
      <c r="A49" t="s">
        <v>66</v>
      </c>
      <c r="B49" t="s">
        <v>15</v>
      </c>
      <c r="C49" t="s">
        <v>21</v>
      </c>
      <c r="D49" s="1">
        <v>45550</v>
      </c>
      <c r="E49" s="1">
        <v>45566</v>
      </c>
      <c r="F49">
        <v>4380</v>
      </c>
      <c r="G49">
        <v>60660</v>
      </c>
      <c r="H49">
        <v>3195</v>
      </c>
      <c r="I49">
        <v>388</v>
      </c>
      <c r="J49">
        <v>37</v>
      </c>
      <c r="K49">
        <v>17067</v>
      </c>
      <c r="L49">
        <f>campaign_data[[#This Row],[Clicks]]/campaign_data[[#This Row],[Impressions]]</f>
        <v>5.2670623145400594E-2</v>
      </c>
      <c r="M49">
        <f>campaign_data[[#This Row],[Leads]]/campaign_data[[#This Row],[Clicks]]</f>
        <v>0.12143974960876369</v>
      </c>
      <c r="N49">
        <f>campaign_data[[#This Row],[Conversions]]/campaign_data[[#This Row],[Leads]]</f>
        <v>9.5360824742268036E-2</v>
      </c>
      <c r="O49">
        <f>campaign_data[[#This Row],[Spend]]/campaign_data[[#This Row],[Leads]]</f>
        <v>11.288659793814434</v>
      </c>
      <c r="P49">
        <f>IF(campaign_data[[#This Row],[Conversions]] &gt; 0, campaign_data[[#This Row],[Spend]]/campaign_data[[#This Row],[Conversions]], 0)</f>
        <v>118.37837837837837</v>
      </c>
      <c r="Q49">
        <f>IF(campaign_data[[#This Row],[Spend]]&gt;0, (campaign_data[[#This Row],[Revenue]]-campaign_data[[#This Row],[Spend]])/campaign_data[[#This Row],[Spend]],0)</f>
        <v>2.8965753424657534</v>
      </c>
      <c r="R49">
        <f>campaign_data[[#This Row],[Revenue]]-campaign_data[[#This Row],[Spend]]</f>
        <v>12687</v>
      </c>
    </row>
    <row r="50" spans="1:18" x14ac:dyDescent="0.25">
      <c r="A50" t="s">
        <v>67</v>
      </c>
      <c r="B50" t="s">
        <v>12</v>
      </c>
      <c r="C50" t="s">
        <v>13</v>
      </c>
      <c r="D50" s="1">
        <v>45556</v>
      </c>
      <c r="E50" s="1">
        <v>45583</v>
      </c>
      <c r="F50">
        <v>1576</v>
      </c>
      <c r="G50">
        <v>8757</v>
      </c>
      <c r="H50">
        <v>2004</v>
      </c>
      <c r="I50">
        <v>360</v>
      </c>
      <c r="J50">
        <v>33</v>
      </c>
      <c r="K50">
        <v>15508</v>
      </c>
      <c r="L50">
        <f>campaign_data[[#This Row],[Clicks]]/campaign_data[[#This Row],[Impressions]]</f>
        <v>0.22884549503254539</v>
      </c>
      <c r="M50">
        <f>campaign_data[[#This Row],[Leads]]/campaign_data[[#This Row],[Clicks]]</f>
        <v>0.17964071856287425</v>
      </c>
      <c r="N50">
        <f>campaign_data[[#This Row],[Conversions]]/campaign_data[[#This Row],[Leads]]</f>
        <v>9.166666666666666E-2</v>
      </c>
      <c r="O50">
        <f>campaign_data[[#This Row],[Spend]]/campaign_data[[#This Row],[Leads]]</f>
        <v>4.3777777777777782</v>
      </c>
      <c r="P50">
        <f>IF(campaign_data[[#This Row],[Conversions]] &gt; 0, campaign_data[[#This Row],[Spend]]/campaign_data[[#This Row],[Conversions]], 0)</f>
        <v>47.757575757575758</v>
      </c>
      <c r="Q50">
        <f>IF(campaign_data[[#This Row],[Spend]]&gt;0, (campaign_data[[#This Row],[Revenue]]-campaign_data[[#This Row],[Spend]])/campaign_data[[#This Row],[Spend]],0)</f>
        <v>8.8401015228426392</v>
      </c>
      <c r="R50">
        <f>campaign_data[[#This Row],[Revenue]]-campaign_data[[#This Row],[Spend]]</f>
        <v>13932</v>
      </c>
    </row>
    <row r="51" spans="1:18" x14ac:dyDescent="0.25">
      <c r="A51" t="s">
        <v>68</v>
      </c>
      <c r="B51" t="s">
        <v>15</v>
      </c>
      <c r="C51" t="s">
        <v>16</v>
      </c>
      <c r="D51" s="1">
        <v>45561</v>
      </c>
      <c r="E51" s="1">
        <v>45577</v>
      </c>
      <c r="F51">
        <v>4975</v>
      </c>
      <c r="G51">
        <v>57567</v>
      </c>
      <c r="H51">
        <v>4621</v>
      </c>
      <c r="I51">
        <v>589</v>
      </c>
      <c r="J51">
        <v>37</v>
      </c>
      <c r="K51">
        <v>5558</v>
      </c>
      <c r="L51">
        <f>campaign_data[[#This Row],[Clicks]]/campaign_data[[#This Row],[Impressions]]</f>
        <v>8.0271683429742738E-2</v>
      </c>
      <c r="M51">
        <f>campaign_data[[#This Row],[Leads]]/campaign_data[[#This Row],[Clicks]]</f>
        <v>0.12746158840077906</v>
      </c>
      <c r="N51">
        <f>campaign_data[[#This Row],[Conversions]]/campaign_data[[#This Row],[Leads]]</f>
        <v>6.2818336162988112E-2</v>
      </c>
      <c r="O51">
        <f>campaign_data[[#This Row],[Spend]]/campaign_data[[#This Row],[Leads]]</f>
        <v>8.4465195246179974</v>
      </c>
      <c r="P51">
        <f>IF(campaign_data[[#This Row],[Conversions]] &gt; 0, campaign_data[[#This Row],[Spend]]/campaign_data[[#This Row],[Conversions]], 0)</f>
        <v>134.45945945945945</v>
      </c>
      <c r="Q51">
        <f>IF(campaign_data[[#This Row],[Spend]]&gt;0, (campaign_data[[#This Row],[Revenue]]-campaign_data[[#This Row],[Spend]])/campaign_data[[#This Row],[Spend]],0)</f>
        <v>0.1171859296482412</v>
      </c>
      <c r="R51">
        <f>campaign_data[[#This Row],[Revenue]]-campaign_data[[#This Row],[Spend]]</f>
        <v>583</v>
      </c>
    </row>
    <row r="52" spans="1:18" x14ac:dyDescent="0.25">
      <c r="A52" t="s">
        <v>69</v>
      </c>
      <c r="B52" t="s">
        <v>18</v>
      </c>
      <c r="C52" t="s">
        <v>19</v>
      </c>
      <c r="D52" s="1">
        <v>45567</v>
      </c>
      <c r="E52" s="1">
        <v>45608</v>
      </c>
      <c r="F52">
        <v>9574</v>
      </c>
      <c r="G52">
        <v>67939</v>
      </c>
      <c r="H52">
        <v>1649</v>
      </c>
      <c r="I52">
        <v>150</v>
      </c>
      <c r="J52">
        <v>5</v>
      </c>
      <c r="K52">
        <v>754</v>
      </c>
      <c r="L52">
        <f>campaign_data[[#This Row],[Clicks]]/campaign_data[[#This Row],[Impressions]]</f>
        <v>2.4271773208319226E-2</v>
      </c>
      <c r="M52">
        <f>campaign_data[[#This Row],[Leads]]/campaign_data[[#This Row],[Clicks]]</f>
        <v>9.0964220739842325E-2</v>
      </c>
      <c r="N52">
        <f>campaign_data[[#This Row],[Conversions]]/campaign_data[[#This Row],[Leads]]</f>
        <v>3.3333333333333333E-2</v>
      </c>
      <c r="O52">
        <f>campaign_data[[#This Row],[Spend]]/campaign_data[[#This Row],[Leads]]</f>
        <v>63.826666666666668</v>
      </c>
      <c r="P52">
        <f>IF(campaign_data[[#This Row],[Conversions]] &gt; 0, campaign_data[[#This Row],[Spend]]/campaign_data[[#This Row],[Conversions]], 0)</f>
        <v>1914.8</v>
      </c>
      <c r="Q52">
        <f>IF(campaign_data[[#This Row],[Spend]]&gt;0, (campaign_data[[#This Row],[Revenue]]-campaign_data[[#This Row],[Spend]])/campaign_data[[#This Row],[Spend]],0)</f>
        <v>-0.92124503864633378</v>
      </c>
      <c r="R52">
        <f>campaign_data[[#This Row],[Revenue]]-campaign_data[[#This Row],[Spend]]</f>
        <v>-8820</v>
      </c>
    </row>
    <row r="53" spans="1:18" x14ac:dyDescent="0.25">
      <c r="A53" t="s">
        <v>70</v>
      </c>
      <c r="B53" t="s">
        <v>15</v>
      </c>
      <c r="C53" t="s">
        <v>21</v>
      </c>
      <c r="D53" s="1">
        <v>45572</v>
      </c>
      <c r="E53" s="1">
        <v>45605</v>
      </c>
      <c r="F53">
        <v>1976</v>
      </c>
      <c r="G53">
        <v>44094</v>
      </c>
      <c r="H53">
        <v>2324</v>
      </c>
      <c r="I53">
        <v>296</v>
      </c>
      <c r="J53">
        <v>24</v>
      </c>
      <c r="K53">
        <v>8749</v>
      </c>
      <c r="L53">
        <f>campaign_data[[#This Row],[Clicks]]/campaign_data[[#This Row],[Impressions]]</f>
        <v>5.2705583526103328E-2</v>
      </c>
      <c r="M53">
        <f>campaign_data[[#This Row],[Leads]]/campaign_data[[#This Row],[Clicks]]</f>
        <v>0.12736660929432014</v>
      </c>
      <c r="N53">
        <f>campaign_data[[#This Row],[Conversions]]/campaign_data[[#This Row],[Leads]]</f>
        <v>8.1081081081081086E-2</v>
      </c>
      <c r="O53">
        <f>campaign_data[[#This Row],[Spend]]/campaign_data[[#This Row],[Leads]]</f>
        <v>6.6756756756756754</v>
      </c>
      <c r="P53">
        <f>IF(campaign_data[[#This Row],[Conversions]] &gt; 0, campaign_data[[#This Row],[Spend]]/campaign_data[[#This Row],[Conversions]], 0)</f>
        <v>82.333333333333329</v>
      </c>
      <c r="Q53">
        <f>IF(campaign_data[[#This Row],[Spend]]&gt;0, (campaign_data[[#This Row],[Revenue]]-campaign_data[[#This Row],[Spend]])/campaign_data[[#This Row],[Spend]],0)</f>
        <v>3.4276315789473686</v>
      </c>
      <c r="R53">
        <f>campaign_data[[#This Row],[Revenue]]-campaign_data[[#This Row],[Spend]]</f>
        <v>6773</v>
      </c>
    </row>
  </sheetData>
  <conditionalFormatting sqref="P1:P1048576">
    <cfRule type="colorScale" priority="1">
      <colorScale>
        <cfvo type="min"/>
        <cfvo type="percentile" val="50"/>
        <cfvo type="max"/>
        <color rgb="FF63BE7B"/>
        <color rgb="FFFCFCFF"/>
        <color rgb="FFF8696B"/>
      </colorScale>
    </cfRule>
  </conditionalFormatting>
  <conditionalFormatting sqref="Q1:Q1048576">
    <cfRule type="colorScale" priority="4">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F44E1-16F5-46C4-B439-EC2A8862B812}">
  <dimension ref="A1:R88"/>
  <sheetViews>
    <sheetView topLeftCell="A75" zoomScale="64" zoomScaleNormal="64" workbookViewId="0">
      <selection activeCell="I99" sqref="I99"/>
    </sheetView>
  </sheetViews>
  <sheetFormatPr defaultRowHeight="15" x14ac:dyDescent="0.25"/>
  <cols>
    <col min="1" max="1" width="18" bestFit="1" customWidth="1"/>
    <col min="2" max="2" width="17.5703125" bestFit="1" customWidth="1"/>
    <col min="3" max="4" width="25.85546875" bestFit="1" customWidth="1"/>
    <col min="5" max="5" width="50.28515625" customWidth="1"/>
  </cols>
  <sheetData>
    <row r="1" spans="1:4" x14ac:dyDescent="0.25">
      <c r="A1" s="2" t="s">
        <v>78</v>
      </c>
    </row>
    <row r="2" spans="1:4" x14ac:dyDescent="0.25">
      <c r="A2" t="s">
        <v>109</v>
      </c>
    </row>
    <row r="4" spans="1:4" x14ac:dyDescent="0.25">
      <c r="A4" s="3" t="s">
        <v>79</v>
      </c>
      <c r="B4" t="s">
        <v>81</v>
      </c>
      <c r="C4" t="s">
        <v>82</v>
      </c>
      <c r="D4" t="s">
        <v>83</v>
      </c>
    </row>
    <row r="5" spans="1:4" x14ac:dyDescent="0.25">
      <c r="A5" s="4" t="s">
        <v>31</v>
      </c>
      <c r="B5">
        <v>77281</v>
      </c>
      <c r="C5">
        <v>2783</v>
      </c>
      <c r="D5">
        <v>31.039549323614679</v>
      </c>
    </row>
    <row r="6" spans="1:4" x14ac:dyDescent="0.25">
      <c r="A6" s="4" t="s">
        <v>18</v>
      </c>
      <c r="B6">
        <v>156485</v>
      </c>
      <c r="C6">
        <v>75827</v>
      </c>
      <c r="D6">
        <v>1.8540678781107223</v>
      </c>
    </row>
    <row r="7" spans="1:4" x14ac:dyDescent="0.25">
      <c r="A7" s="4" t="s">
        <v>12</v>
      </c>
      <c r="B7">
        <v>159506</v>
      </c>
      <c r="C7">
        <v>14814</v>
      </c>
      <c r="D7">
        <v>11.35041274451337</v>
      </c>
    </row>
    <row r="8" spans="1:4" x14ac:dyDescent="0.25">
      <c r="A8" s="4" t="s">
        <v>15</v>
      </c>
      <c r="B8">
        <v>336680</v>
      </c>
      <c r="C8">
        <v>82545</v>
      </c>
      <c r="D8">
        <v>3.4484065512273294</v>
      </c>
    </row>
    <row r="9" spans="1:4" x14ac:dyDescent="0.25">
      <c r="A9" s="4" t="s">
        <v>80</v>
      </c>
      <c r="B9">
        <v>729952</v>
      </c>
      <c r="C9">
        <v>175969</v>
      </c>
      <c r="D9">
        <v>6.8744560731176474</v>
      </c>
    </row>
    <row r="12" spans="1:4" x14ac:dyDescent="0.25">
      <c r="A12" s="2" t="s">
        <v>84</v>
      </c>
    </row>
    <row r="13" spans="1:4" x14ac:dyDescent="0.25">
      <c r="A13" t="s">
        <v>85</v>
      </c>
    </row>
    <row r="15" spans="1:4" x14ac:dyDescent="0.25">
      <c r="A15" s="3" t="s">
        <v>79</v>
      </c>
      <c r="B15" t="s">
        <v>83</v>
      </c>
    </row>
    <row r="16" spans="1:4" x14ac:dyDescent="0.25">
      <c r="A16" s="4" t="s">
        <v>49</v>
      </c>
      <c r="B16">
        <v>16.326113116726834</v>
      </c>
    </row>
    <row r="17" spans="1:18" x14ac:dyDescent="0.25">
      <c r="A17" s="4" t="s">
        <v>55</v>
      </c>
      <c r="B17">
        <v>27.771804062126641</v>
      </c>
    </row>
    <row r="18" spans="1:18" x14ac:dyDescent="0.25">
      <c r="A18" s="4" t="s">
        <v>32</v>
      </c>
      <c r="B18">
        <v>28.140873015873016</v>
      </c>
    </row>
    <row r="19" spans="1:18" x14ac:dyDescent="0.25">
      <c r="A19" s="4" t="s">
        <v>24</v>
      </c>
      <c r="B19">
        <v>34.397677793904208</v>
      </c>
    </row>
    <row r="20" spans="1:18" x14ac:dyDescent="0.25">
      <c r="A20" s="4" t="s">
        <v>56</v>
      </c>
      <c r="B20">
        <v>61.331325301204821</v>
      </c>
    </row>
    <row r="21" spans="1:18" x14ac:dyDescent="0.25">
      <c r="A21" s="4" t="s">
        <v>80</v>
      </c>
      <c r="B21">
        <v>33.593558657967108</v>
      </c>
    </row>
    <row r="24" spans="1:18" x14ac:dyDescent="0.25">
      <c r="A24" s="4" t="s">
        <v>113</v>
      </c>
    </row>
    <row r="25" spans="1:18" x14ac:dyDescent="0.25">
      <c r="A25" s="3" t="s">
        <v>79</v>
      </c>
      <c r="B25" t="s">
        <v>83</v>
      </c>
      <c r="R25" s="2"/>
    </row>
    <row r="26" spans="1:18" x14ac:dyDescent="0.25">
      <c r="A26" s="4" t="s">
        <v>69</v>
      </c>
      <c r="B26">
        <v>-0.92124503864633378</v>
      </c>
    </row>
    <row r="27" spans="1:18" x14ac:dyDescent="0.25">
      <c r="A27" s="4" t="s">
        <v>61</v>
      </c>
      <c r="B27">
        <v>-0.37232540458346908</v>
      </c>
    </row>
    <row r="28" spans="1:18" x14ac:dyDescent="0.25">
      <c r="A28" s="4" t="s">
        <v>41</v>
      </c>
      <c r="B28">
        <v>-0.33554670208056664</v>
      </c>
    </row>
    <row r="29" spans="1:18" x14ac:dyDescent="0.25">
      <c r="A29" s="4" t="s">
        <v>57</v>
      </c>
      <c r="B29">
        <v>-8.5095732699286691E-3</v>
      </c>
    </row>
    <row r="30" spans="1:18" x14ac:dyDescent="0.25">
      <c r="A30" s="4" t="s">
        <v>68</v>
      </c>
      <c r="B30">
        <v>0.1171859296482412</v>
      </c>
    </row>
    <row r="31" spans="1:18" x14ac:dyDescent="0.25">
      <c r="A31" s="4" t="s">
        <v>80</v>
      </c>
      <c r="B31">
        <v>-0.30408815778641146</v>
      </c>
    </row>
    <row r="42" spans="1:4" x14ac:dyDescent="0.25">
      <c r="A42" s="18" t="s">
        <v>110</v>
      </c>
    </row>
    <row r="43" spans="1:4" x14ac:dyDescent="0.25">
      <c r="A43" s="6"/>
    </row>
    <row r="44" spans="1:4" x14ac:dyDescent="0.25">
      <c r="A44" s="3" t="s">
        <v>79</v>
      </c>
      <c r="B44" t="s">
        <v>83</v>
      </c>
      <c r="D44" s="2"/>
    </row>
    <row r="45" spans="1:4" x14ac:dyDescent="0.25">
      <c r="A45" s="4" t="s">
        <v>16</v>
      </c>
      <c r="B45">
        <v>10.194365045527691</v>
      </c>
      <c r="D45" s="10"/>
    </row>
    <row r="46" spans="1:4" x14ac:dyDescent="0.25">
      <c r="A46" s="4" t="s">
        <v>13</v>
      </c>
      <c r="B46">
        <v>6.4222649688279656</v>
      </c>
      <c r="D46" s="10"/>
    </row>
    <row r="47" spans="1:4" x14ac:dyDescent="0.25">
      <c r="A47" s="4" t="s">
        <v>19</v>
      </c>
      <c r="B47">
        <v>6.3934005108934588</v>
      </c>
      <c r="D47" s="10"/>
    </row>
    <row r="48" spans="1:4" x14ac:dyDescent="0.25">
      <c r="A48" s="4" t="s">
        <v>21</v>
      </c>
      <c r="B48">
        <v>4.4877937672214756</v>
      </c>
      <c r="D48" s="10"/>
    </row>
    <row r="49" spans="1:2" x14ac:dyDescent="0.25">
      <c r="A49" s="4" t="s">
        <v>80</v>
      </c>
      <c r="B49">
        <v>6.8744560731176465</v>
      </c>
    </row>
    <row r="55" spans="1:2" x14ac:dyDescent="0.25">
      <c r="A55" s="2"/>
    </row>
    <row r="60" spans="1:2" x14ac:dyDescent="0.25">
      <c r="A60" t="s">
        <v>111</v>
      </c>
    </row>
    <row r="62" spans="1:2" x14ac:dyDescent="0.25">
      <c r="A62" s="3" t="s">
        <v>79</v>
      </c>
      <c r="B62" t="s">
        <v>108</v>
      </c>
    </row>
    <row r="63" spans="1:2" x14ac:dyDescent="0.25">
      <c r="A63" s="4" t="s">
        <v>16</v>
      </c>
      <c r="B63">
        <v>806</v>
      </c>
    </row>
    <row r="64" spans="1:2" x14ac:dyDescent="0.25">
      <c r="A64" s="17" t="s">
        <v>15</v>
      </c>
      <c r="B64">
        <v>430</v>
      </c>
    </row>
    <row r="65" spans="1:2" x14ac:dyDescent="0.25">
      <c r="A65" s="17" t="s">
        <v>18</v>
      </c>
      <c r="B65">
        <v>212</v>
      </c>
    </row>
    <row r="66" spans="1:2" x14ac:dyDescent="0.25">
      <c r="A66" s="17" t="s">
        <v>31</v>
      </c>
      <c r="B66">
        <v>164</v>
      </c>
    </row>
    <row r="67" spans="1:2" x14ac:dyDescent="0.25">
      <c r="A67" s="4" t="s">
        <v>13</v>
      </c>
      <c r="B67">
        <v>557</v>
      </c>
    </row>
    <row r="68" spans="1:2" x14ac:dyDescent="0.25">
      <c r="A68" s="17" t="s">
        <v>12</v>
      </c>
      <c r="B68">
        <v>192</v>
      </c>
    </row>
    <row r="69" spans="1:2" x14ac:dyDescent="0.25">
      <c r="A69" s="17" t="s">
        <v>18</v>
      </c>
      <c r="B69">
        <v>124</v>
      </c>
    </row>
    <row r="70" spans="1:2" x14ac:dyDescent="0.25">
      <c r="A70" s="17" t="s">
        <v>15</v>
      </c>
      <c r="B70">
        <v>122</v>
      </c>
    </row>
    <row r="71" spans="1:2" x14ac:dyDescent="0.25">
      <c r="A71" s="17" t="s">
        <v>31</v>
      </c>
      <c r="B71">
        <v>119</v>
      </c>
    </row>
    <row r="72" spans="1:2" x14ac:dyDescent="0.25">
      <c r="A72" s="4" t="s">
        <v>19</v>
      </c>
      <c r="B72">
        <v>463</v>
      </c>
    </row>
    <row r="73" spans="1:2" x14ac:dyDescent="0.25">
      <c r="A73" s="17" t="s">
        <v>12</v>
      </c>
      <c r="B73">
        <v>182</v>
      </c>
    </row>
    <row r="74" spans="1:2" x14ac:dyDescent="0.25">
      <c r="A74" s="17" t="s">
        <v>18</v>
      </c>
      <c r="B74">
        <v>146</v>
      </c>
    </row>
    <row r="75" spans="1:2" x14ac:dyDescent="0.25">
      <c r="A75" s="17" t="s">
        <v>15</v>
      </c>
      <c r="B75">
        <v>135</v>
      </c>
    </row>
    <row r="76" spans="1:2" x14ac:dyDescent="0.25">
      <c r="A76" s="4" t="s">
        <v>21</v>
      </c>
      <c r="B76">
        <v>438</v>
      </c>
    </row>
    <row r="77" spans="1:2" x14ac:dyDescent="0.25">
      <c r="A77" s="17" t="s">
        <v>15</v>
      </c>
      <c r="B77">
        <v>331</v>
      </c>
    </row>
    <row r="78" spans="1:2" x14ac:dyDescent="0.25">
      <c r="A78" s="17" t="s">
        <v>12</v>
      </c>
      <c r="B78">
        <v>73</v>
      </c>
    </row>
    <row r="79" spans="1:2" x14ac:dyDescent="0.25">
      <c r="A79" s="17" t="s">
        <v>18</v>
      </c>
      <c r="B79">
        <v>34</v>
      </c>
    </row>
    <row r="80" spans="1:2" x14ac:dyDescent="0.25">
      <c r="A80" s="4" t="s">
        <v>80</v>
      </c>
      <c r="B80">
        <v>2264</v>
      </c>
    </row>
    <row r="83" spans="1:4" x14ac:dyDescent="0.25">
      <c r="A83" t="s">
        <v>117</v>
      </c>
    </row>
    <row r="84" spans="1:4" x14ac:dyDescent="0.25">
      <c r="A84" t="s">
        <v>114</v>
      </c>
      <c r="B84" t="s">
        <v>115</v>
      </c>
      <c r="C84" t="s">
        <v>116</v>
      </c>
      <c r="D84" t="s">
        <v>108</v>
      </c>
    </row>
    <row r="85" spans="1:4" x14ac:dyDescent="0.25">
      <c r="A85" s="22">
        <v>3419348</v>
      </c>
      <c r="B85" s="22">
        <v>201104</v>
      </c>
      <c r="C85" s="22">
        <v>23825</v>
      </c>
      <c r="D85" s="22">
        <v>2264</v>
      </c>
    </row>
    <row r="87" spans="1:4" x14ac:dyDescent="0.25">
      <c r="A87" t="s">
        <v>115</v>
      </c>
      <c r="B87" t="s">
        <v>116</v>
      </c>
      <c r="C87" t="s">
        <v>108</v>
      </c>
    </row>
    <row r="88" spans="1:4" x14ac:dyDescent="0.25">
      <c r="A88" s="22">
        <v>201104</v>
      </c>
      <c r="B88" s="22">
        <v>23825</v>
      </c>
      <c r="C88" s="22">
        <v>2264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99C8-5243-4E26-A286-8FB309699F3F}">
  <dimension ref="A1:P74"/>
  <sheetViews>
    <sheetView tabSelected="1" zoomScale="60" zoomScaleNormal="60" workbookViewId="0">
      <pane ySplit="1" topLeftCell="A2" activePane="bottomLeft" state="frozen"/>
      <selection pane="bottomLeft" activeCell="G69" sqref="G69"/>
    </sheetView>
  </sheetViews>
  <sheetFormatPr defaultRowHeight="15" x14ac:dyDescent="0.25"/>
  <cols>
    <col min="1" max="1" width="2.7109375" customWidth="1"/>
    <col min="2" max="2" width="19.28515625" bestFit="1" customWidth="1"/>
    <col min="3" max="3" width="20.85546875" bestFit="1" customWidth="1"/>
    <col min="4" max="4" width="24" bestFit="1" customWidth="1"/>
    <col min="5" max="6" width="24" customWidth="1"/>
    <col min="7" max="7" width="20.140625" bestFit="1" customWidth="1"/>
    <col min="8" max="8" width="22.42578125" bestFit="1" customWidth="1"/>
    <col min="10" max="10" width="30.85546875" bestFit="1" customWidth="1"/>
    <col min="11" max="11" width="9.140625" customWidth="1"/>
    <col min="12" max="12" width="34.140625" bestFit="1" customWidth="1"/>
    <col min="13" max="13" width="9.140625" customWidth="1"/>
    <col min="14" max="14" width="38.28515625" customWidth="1"/>
    <col min="15" max="15" width="11.85546875" customWidth="1"/>
    <col min="16" max="16" width="3.5703125" customWidth="1"/>
    <col min="19" max="19" width="0.85546875" customWidth="1"/>
  </cols>
  <sheetData>
    <row r="1" spans="1:16" ht="39.950000000000003" customHeight="1" x14ac:dyDescent="0.25">
      <c r="A1" s="39" t="s">
        <v>86</v>
      </c>
      <c r="B1" s="39"/>
      <c r="C1" s="39"/>
      <c r="D1" s="39"/>
      <c r="E1" s="39"/>
      <c r="F1" s="39"/>
      <c r="G1" s="39"/>
      <c r="H1" s="39"/>
      <c r="I1" s="39"/>
      <c r="J1" s="39"/>
      <c r="K1" s="39"/>
      <c r="L1" s="39"/>
      <c r="M1" s="39"/>
      <c r="N1" s="39"/>
      <c r="O1" s="39"/>
      <c r="P1" s="39"/>
    </row>
    <row r="2" spans="1:16" ht="21" x14ac:dyDescent="0.35">
      <c r="A2" s="23"/>
      <c r="B2" s="31" t="s">
        <v>88</v>
      </c>
      <c r="C2" s="23"/>
      <c r="D2" s="33" t="s">
        <v>89</v>
      </c>
      <c r="E2" s="24"/>
      <c r="F2" s="34" t="s">
        <v>112</v>
      </c>
      <c r="G2" s="23"/>
      <c r="H2" s="33" t="s">
        <v>90</v>
      </c>
      <c r="I2" s="23"/>
      <c r="J2" s="33" t="s">
        <v>91</v>
      </c>
      <c r="K2" s="23"/>
      <c r="L2" s="37" t="s">
        <v>87</v>
      </c>
      <c r="M2" s="24"/>
      <c r="N2" s="40" t="s">
        <v>119</v>
      </c>
      <c r="O2" s="23"/>
    </row>
    <row r="3" spans="1:16" ht="33.75" x14ac:dyDescent="0.5">
      <c r="A3" s="23"/>
      <c r="B3" s="30">
        <f>SUM('campaign_data'!F2:'campaign_data'!F53)</f>
        <v>175969</v>
      </c>
      <c r="C3" s="23"/>
      <c r="D3" s="32">
        <f>SUM('campaign_data'!K2:'campaign_data'!K53)</f>
        <v>729952</v>
      </c>
      <c r="E3" s="26"/>
      <c r="F3" s="35">
        <f>SUM('campaign_data'!R2:'campaign_data'!R53)</f>
        <v>553983</v>
      </c>
      <c r="G3" s="23"/>
      <c r="H3" s="36">
        <f>(D3-B3)/B3</f>
        <v>3.1481851917099033</v>
      </c>
      <c r="I3" s="23"/>
      <c r="J3" s="32">
        <f>SUM('campaign_data'!J2:'campaign_data'!J53)</f>
        <v>2264</v>
      </c>
      <c r="K3" s="23"/>
      <c r="L3" s="38">
        <f>Dashboard!B3/Dashboard!J3</f>
        <v>77.724823321554766</v>
      </c>
      <c r="M3" s="27"/>
      <c r="N3" s="41" t="s">
        <v>118</v>
      </c>
      <c r="O3" s="23"/>
    </row>
    <row r="4" spans="1:16" ht="21" x14ac:dyDescent="0.35">
      <c r="A4" s="23"/>
      <c r="B4" s="25"/>
      <c r="C4" s="23"/>
      <c r="D4" s="25"/>
      <c r="E4" s="26"/>
      <c r="F4" s="28"/>
      <c r="G4" s="23"/>
      <c r="H4" s="25"/>
      <c r="I4" s="23"/>
      <c r="J4" s="25"/>
      <c r="K4" s="23"/>
      <c r="L4" s="25"/>
      <c r="M4" s="27"/>
      <c r="N4" s="25"/>
      <c r="O4" s="23"/>
    </row>
    <row r="5" spans="1:16" x14ac:dyDescent="0.25">
      <c r="A5" s="23"/>
      <c r="B5" s="27"/>
      <c r="C5" s="27"/>
      <c r="D5" s="23"/>
      <c r="E5" s="23"/>
      <c r="F5" s="23"/>
      <c r="G5" s="27"/>
      <c r="H5" s="27"/>
      <c r="I5" s="23"/>
      <c r="J5" s="23"/>
      <c r="K5" s="23"/>
      <c r="L5" s="23"/>
      <c r="M5" s="23"/>
      <c r="N5" s="23"/>
      <c r="O5" s="23"/>
    </row>
    <row r="6" spans="1:16" x14ac:dyDescent="0.25">
      <c r="A6" s="23"/>
      <c r="B6" s="23"/>
      <c r="C6" s="23"/>
      <c r="D6" s="23"/>
      <c r="E6" s="23"/>
      <c r="F6" s="23"/>
      <c r="G6" s="23"/>
      <c r="H6" s="23"/>
      <c r="I6" s="23"/>
      <c r="J6" s="23"/>
      <c r="K6" s="23"/>
      <c r="L6" s="23"/>
      <c r="M6" s="23"/>
      <c r="N6" s="23"/>
      <c r="O6" s="23"/>
    </row>
    <row r="7" spans="1:16" x14ac:dyDescent="0.25">
      <c r="A7" s="23"/>
      <c r="B7" s="23"/>
      <c r="C7" s="23"/>
      <c r="D7" s="23"/>
      <c r="E7" s="23"/>
      <c r="F7" s="23"/>
      <c r="G7" s="23"/>
      <c r="H7" s="23"/>
      <c r="I7" s="23"/>
      <c r="J7" s="23"/>
      <c r="K7" s="23"/>
      <c r="L7" s="23"/>
      <c r="M7" s="23"/>
      <c r="N7" s="23"/>
      <c r="O7" s="23"/>
    </row>
    <row r="8" spans="1:16" x14ac:dyDescent="0.25">
      <c r="A8" s="23"/>
      <c r="B8" s="23"/>
      <c r="C8" s="23"/>
      <c r="D8" s="23"/>
      <c r="E8" s="23"/>
      <c r="F8" s="23"/>
      <c r="G8" s="23"/>
      <c r="H8" s="23"/>
      <c r="I8" s="23"/>
      <c r="J8" s="23"/>
      <c r="K8" s="23"/>
      <c r="L8" s="23"/>
      <c r="M8" s="23"/>
      <c r="N8" s="23"/>
      <c r="O8" s="23"/>
    </row>
    <row r="9" spans="1:16" x14ac:dyDescent="0.25">
      <c r="A9" s="23"/>
      <c r="B9" s="23"/>
      <c r="C9" s="23"/>
      <c r="D9" s="29"/>
      <c r="E9" s="29"/>
      <c r="F9" s="29"/>
      <c r="G9" s="23"/>
      <c r="H9" s="23"/>
      <c r="I9" s="23"/>
      <c r="J9" s="23"/>
      <c r="K9" s="23"/>
      <c r="L9" s="23"/>
      <c r="M9" s="23"/>
      <c r="N9" s="23"/>
      <c r="O9" s="23"/>
    </row>
    <row r="10" spans="1:16" x14ac:dyDescent="0.25">
      <c r="A10" s="23"/>
      <c r="B10" s="23"/>
      <c r="C10" s="23"/>
      <c r="D10" s="29"/>
      <c r="E10" s="29"/>
      <c r="F10" s="29"/>
      <c r="G10" s="23"/>
      <c r="H10" s="23"/>
      <c r="I10" s="23"/>
      <c r="J10" s="23"/>
      <c r="K10" s="23"/>
      <c r="L10" s="23"/>
      <c r="M10" s="23"/>
      <c r="N10" s="23"/>
      <c r="O10" s="23"/>
    </row>
    <row r="11" spans="1:16" x14ac:dyDescent="0.25">
      <c r="A11" s="23"/>
      <c r="B11" s="23"/>
      <c r="C11" s="23"/>
      <c r="D11" s="29"/>
      <c r="E11" s="29"/>
      <c r="F11" s="29"/>
      <c r="G11" s="23"/>
      <c r="H11" s="23"/>
      <c r="I11" s="23"/>
      <c r="J11" s="23"/>
      <c r="K11" s="23"/>
      <c r="L11" s="23"/>
      <c r="M11" s="23"/>
      <c r="N11" s="23"/>
      <c r="O11" s="23"/>
    </row>
    <row r="12" spans="1:16" x14ac:dyDescent="0.25">
      <c r="A12" s="23"/>
      <c r="B12" s="23"/>
      <c r="C12" s="23"/>
      <c r="D12" s="23"/>
      <c r="E12" s="23"/>
      <c r="F12" s="23"/>
      <c r="G12" s="23"/>
      <c r="H12" s="23"/>
      <c r="I12" s="23"/>
      <c r="J12" s="23"/>
      <c r="K12" s="23"/>
      <c r="L12" s="23"/>
      <c r="M12" s="23"/>
      <c r="N12" s="23"/>
      <c r="O12" s="23"/>
    </row>
    <row r="13" spans="1:16" x14ac:dyDescent="0.25">
      <c r="A13" s="23"/>
      <c r="B13" s="23"/>
      <c r="C13" s="23"/>
      <c r="D13" s="23"/>
      <c r="E13" s="23"/>
      <c r="F13" s="23"/>
      <c r="G13" s="23"/>
      <c r="H13" s="23"/>
      <c r="I13" s="23"/>
      <c r="J13" s="23"/>
      <c r="K13" s="23"/>
      <c r="L13" s="23"/>
      <c r="M13" s="23"/>
      <c r="N13" s="23"/>
      <c r="O13" s="23"/>
    </row>
    <row r="14" spans="1:16" x14ac:dyDescent="0.25">
      <c r="A14" s="23"/>
      <c r="B14" s="23"/>
      <c r="C14" s="23"/>
      <c r="D14" s="23"/>
      <c r="E14" s="23"/>
      <c r="F14" s="23"/>
      <c r="G14" s="23"/>
      <c r="H14" s="23"/>
      <c r="I14" s="23"/>
      <c r="J14" s="23"/>
      <c r="K14" s="23"/>
      <c r="L14" s="23"/>
      <c r="M14" s="23"/>
      <c r="N14" s="23"/>
      <c r="O14" s="23"/>
    </row>
    <row r="15" spans="1:16" x14ac:dyDescent="0.25">
      <c r="A15" s="23"/>
      <c r="B15" s="23"/>
      <c r="C15" s="23"/>
      <c r="D15" s="23"/>
      <c r="E15" s="23"/>
      <c r="F15" s="23"/>
      <c r="G15" s="23"/>
      <c r="H15" s="23"/>
      <c r="I15" s="23"/>
      <c r="J15" s="23"/>
      <c r="K15" s="23"/>
      <c r="L15" s="23"/>
      <c r="M15" s="23"/>
      <c r="N15" s="23"/>
      <c r="O15" s="23"/>
    </row>
    <row r="16" spans="1:16" x14ac:dyDescent="0.25">
      <c r="A16" s="23"/>
      <c r="B16" s="23"/>
      <c r="C16" s="23"/>
      <c r="D16" s="23"/>
      <c r="E16" s="23"/>
      <c r="F16" s="23"/>
      <c r="G16" s="23"/>
      <c r="H16" s="23"/>
      <c r="I16" s="23"/>
      <c r="J16" s="23"/>
      <c r="K16" s="23"/>
      <c r="L16" s="23"/>
      <c r="M16" s="23"/>
      <c r="N16" s="23"/>
      <c r="O16" s="23"/>
    </row>
    <row r="17" spans="1:15" x14ac:dyDescent="0.25">
      <c r="A17" s="23"/>
      <c r="B17" s="23"/>
      <c r="C17" s="23"/>
      <c r="D17" s="23"/>
      <c r="E17" s="23"/>
      <c r="F17" s="23"/>
      <c r="G17" s="23"/>
      <c r="H17" s="23"/>
      <c r="I17" s="23"/>
      <c r="J17" s="23"/>
      <c r="K17" s="23"/>
      <c r="L17" s="23"/>
      <c r="M17" s="23"/>
      <c r="N17" s="23"/>
      <c r="O17" s="23"/>
    </row>
    <row r="18" spans="1:15" x14ac:dyDescent="0.25">
      <c r="A18" s="23"/>
      <c r="B18" s="23"/>
      <c r="C18" s="23"/>
      <c r="D18" s="23"/>
      <c r="E18" s="23"/>
      <c r="F18" s="23"/>
      <c r="G18" s="23"/>
      <c r="H18" s="23"/>
      <c r="I18" s="23"/>
      <c r="J18" s="23"/>
      <c r="K18" s="23"/>
      <c r="L18" s="23"/>
      <c r="M18" s="23"/>
      <c r="N18" s="23"/>
      <c r="O18" s="23"/>
    </row>
    <row r="19" spans="1:15" x14ac:dyDescent="0.25">
      <c r="A19" s="23"/>
      <c r="B19" s="23"/>
      <c r="C19" s="23"/>
      <c r="D19" s="23"/>
      <c r="E19" s="23"/>
      <c r="F19" s="23"/>
      <c r="G19" s="23"/>
      <c r="H19" s="23"/>
      <c r="I19" s="23"/>
      <c r="J19" s="23"/>
      <c r="K19" s="23"/>
      <c r="L19" s="23"/>
      <c r="M19" s="23"/>
      <c r="N19" s="23"/>
      <c r="O19" s="23"/>
    </row>
    <row r="20" spans="1:15" x14ac:dyDescent="0.25">
      <c r="A20" s="23"/>
      <c r="B20" s="23"/>
      <c r="C20" s="23"/>
      <c r="D20" s="23"/>
      <c r="E20" s="23"/>
      <c r="F20" s="23"/>
      <c r="G20" s="23"/>
      <c r="H20" s="23"/>
      <c r="I20" s="23"/>
      <c r="J20" s="23"/>
      <c r="K20" s="23"/>
      <c r="L20" s="23"/>
      <c r="M20" s="23"/>
      <c r="N20" s="23"/>
      <c r="O20" s="23"/>
    </row>
    <row r="21" spans="1:15" x14ac:dyDescent="0.25">
      <c r="A21" s="23"/>
      <c r="B21" s="23"/>
      <c r="C21" s="23"/>
      <c r="D21" s="23"/>
      <c r="E21" s="23"/>
      <c r="F21" s="23"/>
      <c r="G21" s="23"/>
      <c r="H21" s="23"/>
      <c r="I21" s="23"/>
      <c r="J21" s="23"/>
      <c r="K21" s="23"/>
      <c r="L21" s="23"/>
      <c r="M21" s="23"/>
      <c r="N21" s="23"/>
      <c r="O21" s="23"/>
    </row>
    <row r="22" spans="1:15" x14ac:dyDescent="0.25">
      <c r="A22" s="23"/>
      <c r="B22" s="23"/>
      <c r="C22" s="23"/>
      <c r="D22" s="23"/>
      <c r="E22" s="23"/>
      <c r="F22" s="23"/>
      <c r="G22" s="23"/>
      <c r="H22" s="23"/>
      <c r="I22" s="23"/>
      <c r="J22" s="23"/>
      <c r="K22" s="23"/>
      <c r="L22" s="23"/>
      <c r="M22" s="23"/>
      <c r="N22" s="23"/>
      <c r="O22" s="23"/>
    </row>
    <row r="23" spans="1:15" x14ac:dyDescent="0.25">
      <c r="A23" s="23"/>
      <c r="B23" s="23"/>
      <c r="C23" s="23"/>
      <c r="D23" s="23"/>
      <c r="E23" s="23"/>
      <c r="F23" s="23"/>
      <c r="G23" s="23"/>
      <c r="H23" s="23"/>
      <c r="I23" s="23"/>
      <c r="J23" s="23"/>
      <c r="K23" s="23"/>
      <c r="L23" s="23"/>
      <c r="M23" s="23"/>
      <c r="N23" s="23"/>
      <c r="O23" s="23"/>
    </row>
    <row r="24" spans="1:15" x14ac:dyDescent="0.25">
      <c r="A24" s="23"/>
      <c r="B24" s="23"/>
      <c r="C24" s="23"/>
      <c r="D24" s="23"/>
      <c r="E24" s="23"/>
      <c r="F24" s="23"/>
      <c r="G24" s="23"/>
      <c r="H24" s="23"/>
      <c r="I24" s="23"/>
      <c r="J24" s="23"/>
      <c r="K24" s="23"/>
      <c r="L24" s="23"/>
      <c r="M24" s="23"/>
      <c r="N24" s="23"/>
      <c r="O24" s="23"/>
    </row>
    <row r="25" spans="1:15" x14ac:dyDescent="0.25">
      <c r="A25" s="23"/>
      <c r="B25" s="23"/>
      <c r="C25" s="23"/>
      <c r="D25" s="23"/>
      <c r="E25" s="23"/>
      <c r="F25" s="23"/>
      <c r="G25" s="23"/>
      <c r="H25" s="23"/>
      <c r="I25" s="23"/>
      <c r="J25" s="23"/>
      <c r="K25" s="23"/>
      <c r="L25" s="23"/>
      <c r="M25" s="23"/>
      <c r="N25" s="23"/>
      <c r="O25" s="23"/>
    </row>
    <row r="26" spans="1:15" x14ac:dyDescent="0.25">
      <c r="A26" s="23"/>
      <c r="B26" s="23"/>
      <c r="C26" s="23"/>
      <c r="D26" s="23"/>
      <c r="E26" s="23"/>
      <c r="F26" s="23"/>
      <c r="G26" s="23"/>
      <c r="H26" s="23"/>
      <c r="I26" s="23"/>
      <c r="J26" s="23"/>
      <c r="K26" s="23"/>
      <c r="L26" s="23"/>
      <c r="M26" s="23"/>
      <c r="N26" s="23"/>
      <c r="O26" s="23"/>
    </row>
    <row r="27" spans="1:15" x14ac:dyDescent="0.25">
      <c r="A27" s="23"/>
      <c r="B27" s="23"/>
      <c r="C27" s="23"/>
      <c r="D27" s="23"/>
      <c r="E27" s="23"/>
      <c r="F27" s="23"/>
      <c r="G27" s="23"/>
      <c r="H27" s="23"/>
      <c r="I27" s="23"/>
      <c r="J27" s="23"/>
      <c r="K27" s="23"/>
      <c r="L27" s="23"/>
      <c r="M27" s="23"/>
      <c r="N27" s="23"/>
      <c r="O27" s="23"/>
    </row>
    <row r="28" spans="1:15" x14ac:dyDescent="0.25">
      <c r="A28" s="23"/>
      <c r="B28" s="23"/>
      <c r="C28" s="23"/>
      <c r="D28" s="23"/>
      <c r="E28" s="23"/>
      <c r="F28" s="23"/>
      <c r="G28" s="23"/>
      <c r="H28" s="23"/>
      <c r="I28" s="23"/>
      <c r="J28" s="23"/>
      <c r="K28" s="23"/>
      <c r="L28" s="23"/>
      <c r="M28" s="23"/>
      <c r="N28" s="23"/>
      <c r="O28" s="23"/>
    </row>
    <row r="29" spans="1:15" x14ac:dyDescent="0.25">
      <c r="A29" s="23"/>
      <c r="B29" s="23"/>
      <c r="C29" s="23"/>
      <c r="D29" s="23"/>
      <c r="E29" s="23"/>
      <c r="F29" s="23"/>
      <c r="G29" s="23"/>
      <c r="H29" s="23"/>
      <c r="I29" s="23"/>
      <c r="J29" s="23"/>
      <c r="K29" s="23"/>
      <c r="L29" s="23"/>
      <c r="M29" s="23"/>
      <c r="N29" s="23"/>
      <c r="O29" s="23"/>
    </row>
    <row r="30" spans="1:15" x14ac:dyDescent="0.25">
      <c r="A30" s="23"/>
      <c r="B30" s="23"/>
      <c r="C30" s="23"/>
      <c r="D30" s="23"/>
      <c r="E30" s="23"/>
      <c r="F30" s="23"/>
      <c r="G30" s="23"/>
      <c r="H30" s="23"/>
      <c r="I30" s="23"/>
      <c r="J30" s="23"/>
      <c r="K30" s="23"/>
      <c r="L30" s="23"/>
      <c r="M30" s="23"/>
      <c r="N30" s="23"/>
      <c r="O30" s="23"/>
    </row>
    <row r="31" spans="1:15" x14ac:dyDescent="0.25">
      <c r="A31" s="23"/>
      <c r="B31" s="23"/>
      <c r="C31" s="23"/>
      <c r="D31" s="23"/>
      <c r="E31" s="23"/>
      <c r="F31" s="23"/>
      <c r="G31" s="23"/>
      <c r="H31" s="23"/>
      <c r="I31" s="23"/>
      <c r="J31" s="23"/>
      <c r="K31" s="23"/>
      <c r="L31" s="23"/>
      <c r="M31" s="23"/>
      <c r="N31" s="23"/>
      <c r="O31" s="23"/>
    </row>
    <row r="32" spans="1:15" x14ac:dyDescent="0.25">
      <c r="A32" s="23"/>
      <c r="B32" s="23"/>
      <c r="C32" s="23"/>
      <c r="D32" s="23"/>
      <c r="E32" s="23"/>
      <c r="F32" s="23"/>
      <c r="G32" s="23"/>
      <c r="H32" s="23"/>
      <c r="I32" s="23"/>
      <c r="J32" s="23"/>
      <c r="K32" s="23"/>
      <c r="L32" s="23"/>
      <c r="M32" s="23"/>
      <c r="N32" s="23"/>
      <c r="O32" s="23"/>
    </row>
    <row r="33" spans="1:15" x14ac:dyDescent="0.25">
      <c r="A33" s="23"/>
      <c r="B33" s="23"/>
      <c r="C33" s="23"/>
      <c r="D33" s="23"/>
      <c r="E33" s="23"/>
      <c r="F33" s="23"/>
      <c r="G33" s="23"/>
      <c r="H33" s="23"/>
      <c r="I33" s="23"/>
      <c r="J33" s="23"/>
      <c r="K33" s="23"/>
      <c r="L33" s="23"/>
      <c r="M33" s="23"/>
      <c r="N33" s="23"/>
      <c r="O33" s="23"/>
    </row>
    <row r="34" spans="1:15" x14ac:dyDescent="0.25">
      <c r="A34" s="23"/>
      <c r="B34" s="23"/>
      <c r="C34" s="23"/>
      <c r="D34" s="23"/>
      <c r="E34" s="23"/>
      <c r="F34" s="23"/>
      <c r="G34" s="23"/>
      <c r="H34" s="23"/>
      <c r="I34" s="23"/>
      <c r="J34" s="23"/>
      <c r="K34" s="23"/>
      <c r="L34" s="23"/>
      <c r="M34" s="23"/>
      <c r="N34" s="23"/>
      <c r="O34" s="23"/>
    </row>
    <row r="35" spans="1:15" x14ac:dyDescent="0.25">
      <c r="A35" s="23"/>
      <c r="B35" s="23"/>
      <c r="C35" s="23"/>
      <c r="D35" s="23"/>
      <c r="E35" s="23"/>
      <c r="F35" s="23"/>
      <c r="G35" s="23"/>
      <c r="H35" s="23"/>
      <c r="I35" s="23"/>
      <c r="J35" s="23"/>
      <c r="K35" s="23"/>
      <c r="L35" s="23"/>
      <c r="M35" s="23"/>
      <c r="N35" s="23"/>
      <c r="O35" s="23"/>
    </row>
    <row r="36" spans="1:15" x14ac:dyDescent="0.25">
      <c r="A36" s="23"/>
      <c r="B36" s="23"/>
      <c r="C36" s="23"/>
      <c r="D36" s="23"/>
      <c r="E36" s="23"/>
      <c r="F36" s="23"/>
      <c r="G36" s="23"/>
      <c r="H36" s="23"/>
      <c r="I36" s="23"/>
      <c r="J36" s="23"/>
      <c r="K36" s="23"/>
      <c r="L36" s="23"/>
      <c r="M36" s="23"/>
      <c r="N36" s="23"/>
      <c r="O36" s="23"/>
    </row>
    <row r="37" spans="1:15" x14ac:dyDescent="0.25">
      <c r="A37" s="23"/>
      <c r="B37" s="23"/>
      <c r="C37" s="23"/>
      <c r="D37" s="23"/>
      <c r="E37" s="23"/>
      <c r="F37" s="23"/>
      <c r="G37" s="23"/>
      <c r="H37" s="23"/>
      <c r="I37" s="23"/>
      <c r="J37" s="23"/>
      <c r="K37" s="23"/>
      <c r="L37" s="23"/>
      <c r="M37" s="23"/>
      <c r="N37" s="23"/>
      <c r="O37" s="23"/>
    </row>
    <row r="38" spans="1:15" x14ac:dyDescent="0.25">
      <c r="A38" s="23"/>
      <c r="B38" s="23"/>
      <c r="C38" s="23"/>
      <c r="D38" s="23"/>
      <c r="E38" s="23"/>
      <c r="F38" s="23"/>
      <c r="G38" s="23"/>
      <c r="H38" s="23"/>
      <c r="I38" s="23"/>
      <c r="J38" s="23"/>
      <c r="K38" s="23"/>
      <c r="L38" s="23"/>
      <c r="M38" s="23"/>
      <c r="N38" s="23"/>
      <c r="O38" s="23"/>
    </row>
    <row r="39" spans="1:15" x14ac:dyDescent="0.25">
      <c r="A39" s="23"/>
      <c r="B39" s="23"/>
      <c r="C39" s="23"/>
      <c r="D39" s="23"/>
      <c r="E39" s="23"/>
      <c r="F39" s="23"/>
      <c r="G39" s="23"/>
      <c r="H39" s="23"/>
      <c r="I39" s="23"/>
      <c r="J39" s="23"/>
      <c r="K39" s="23"/>
      <c r="L39" s="23"/>
      <c r="M39" s="23"/>
      <c r="N39" s="23"/>
      <c r="O39" s="23"/>
    </row>
    <row r="40" spans="1:15" s="8" customFormat="1" x14ac:dyDescent="0.25"/>
    <row r="41" spans="1:15" s="14" customFormat="1" ht="30" customHeight="1" x14ac:dyDescent="0.25">
      <c r="B41" s="19" t="s">
        <v>107</v>
      </c>
      <c r="C41" s="19"/>
      <c r="D41" s="19"/>
      <c r="E41" s="19"/>
      <c r="F41" s="19"/>
      <c r="G41" s="19"/>
      <c r="H41" s="19"/>
      <c r="I41" s="19"/>
      <c r="J41" s="19"/>
      <c r="K41" s="19"/>
      <c r="L41" s="19"/>
      <c r="M41" s="19"/>
      <c r="N41" s="19"/>
      <c r="O41" s="19"/>
    </row>
    <row r="42" spans="1:15" ht="18.75" x14ac:dyDescent="0.3">
      <c r="A42" s="11"/>
      <c r="B42" s="12"/>
      <c r="C42" s="11"/>
      <c r="D42" s="11"/>
      <c r="E42" s="11"/>
      <c r="F42" s="11"/>
      <c r="G42" s="11"/>
      <c r="H42" s="11"/>
      <c r="I42" s="11"/>
      <c r="J42" s="11"/>
      <c r="K42" s="11"/>
      <c r="L42" s="11"/>
      <c r="M42" s="11"/>
      <c r="N42" s="11"/>
      <c r="O42" s="11"/>
    </row>
    <row r="43" spans="1:15" ht="18.75" x14ac:dyDescent="0.3">
      <c r="A43" s="11"/>
      <c r="B43" s="16" t="s">
        <v>102</v>
      </c>
      <c r="C43" s="16"/>
      <c r="D43" s="16"/>
      <c r="E43" s="16"/>
      <c r="F43" s="16"/>
      <c r="G43" s="16"/>
      <c r="H43" s="16"/>
      <c r="I43" s="16"/>
      <c r="J43" s="16"/>
      <c r="K43" s="16"/>
      <c r="L43" s="16"/>
      <c r="M43" s="16"/>
      <c r="N43" s="16"/>
      <c r="O43" s="11"/>
    </row>
    <row r="44" spans="1:15" ht="18.75" x14ac:dyDescent="0.3">
      <c r="A44" s="11"/>
      <c r="B44" s="12" t="s">
        <v>106</v>
      </c>
      <c r="C44" s="11"/>
      <c r="D44" s="11"/>
      <c r="E44" s="11"/>
      <c r="F44" s="11"/>
      <c r="G44" s="11"/>
      <c r="H44" s="11"/>
      <c r="I44" s="11"/>
      <c r="J44" s="11"/>
      <c r="K44" s="11"/>
      <c r="L44" s="11"/>
      <c r="M44" s="11"/>
      <c r="N44" s="11"/>
      <c r="O44" s="11"/>
    </row>
    <row r="45" spans="1:15" ht="18.75" x14ac:dyDescent="0.3">
      <c r="A45" s="11"/>
      <c r="B45" s="12" t="s">
        <v>103</v>
      </c>
      <c r="C45" s="11"/>
      <c r="D45" s="11"/>
      <c r="E45" s="11"/>
      <c r="F45" s="11"/>
      <c r="G45" s="11"/>
      <c r="H45" s="11"/>
      <c r="I45" s="11"/>
      <c r="J45" s="11"/>
      <c r="K45" s="11"/>
      <c r="L45" s="11"/>
      <c r="M45" s="11"/>
      <c r="N45" s="11"/>
      <c r="O45" s="11"/>
    </row>
    <row r="46" spans="1:15" ht="18.75" x14ac:dyDescent="0.3">
      <c r="A46" s="11"/>
      <c r="B46" s="12" t="s">
        <v>104</v>
      </c>
      <c r="C46" s="11"/>
      <c r="D46" s="11"/>
      <c r="E46" s="11"/>
      <c r="F46" s="11"/>
      <c r="G46" s="11"/>
      <c r="H46" s="11"/>
      <c r="I46" s="11"/>
      <c r="J46" s="11"/>
      <c r="K46" s="11"/>
      <c r="L46" s="11"/>
      <c r="M46" s="11"/>
      <c r="N46" s="11"/>
      <c r="O46" s="11"/>
    </row>
    <row r="47" spans="1:15" ht="18.75" x14ac:dyDescent="0.3">
      <c r="A47" s="11"/>
      <c r="B47" s="12" t="s">
        <v>105</v>
      </c>
      <c r="C47" s="11"/>
      <c r="D47" s="11"/>
      <c r="E47" s="11"/>
      <c r="F47" s="11"/>
      <c r="G47" s="11"/>
      <c r="H47" s="11"/>
      <c r="I47" s="11"/>
      <c r="J47" s="11"/>
      <c r="K47" s="11"/>
      <c r="L47" s="11"/>
      <c r="M47" s="11"/>
      <c r="N47" s="11"/>
      <c r="O47" s="11"/>
    </row>
    <row r="48" spans="1:15" ht="18.75" x14ac:dyDescent="0.3">
      <c r="A48" s="11"/>
      <c r="B48" s="13" t="s">
        <v>120</v>
      </c>
      <c r="C48" s="11"/>
      <c r="D48" s="11"/>
      <c r="E48" s="11"/>
      <c r="F48" s="11"/>
      <c r="G48" s="11"/>
      <c r="H48" s="11"/>
      <c r="I48" s="11"/>
      <c r="J48" s="11"/>
      <c r="K48" s="11"/>
      <c r="L48" s="11"/>
      <c r="M48" s="11"/>
      <c r="N48" s="11"/>
      <c r="O48" s="11"/>
    </row>
    <row r="49" spans="1:15" x14ac:dyDescent="0.25">
      <c r="A49" s="11"/>
      <c r="B49" s="11"/>
      <c r="C49" s="11"/>
      <c r="D49" s="11"/>
      <c r="E49" s="11"/>
      <c r="F49" s="11"/>
      <c r="G49" s="11"/>
      <c r="H49" s="11"/>
      <c r="I49" s="11"/>
      <c r="J49" s="11"/>
      <c r="K49" s="11"/>
      <c r="L49" s="11"/>
      <c r="M49" s="11"/>
      <c r="N49" s="11"/>
      <c r="O49" s="11"/>
    </row>
    <row r="50" spans="1:15" s="15" customFormat="1" ht="30" customHeight="1" x14ac:dyDescent="0.25">
      <c r="B50" s="20" t="s">
        <v>92</v>
      </c>
      <c r="C50" s="20"/>
      <c r="D50" s="20"/>
      <c r="E50" s="20"/>
      <c r="F50" s="20"/>
      <c r="G50" s="20"/>
      <c r="H50" s="20"/>
      <c r="I50" s="20"/>
      <c r="J50" s="20"/>
      <c r="K50" s="20"/>
      <c r="L50" s="20"/>
      <c r="M50" s="20"/>
      <c r="N50" s="20"/>
      <c r="O50" s="20"/>
    </row>
    <row r="51" spans="1:15" ht="18.75" x14ac:dyDescent="0.3">
      <c r="A51" s="11"/>
      <c r="B51" s="12" t="s">
        <v>92</v>
      </c>
      <c r="C51" s="11"/>
      <c r="D51" s="11"/>
      <c r="E51" s="11"/>
      <c r="F51" s="11"/>
      <c r="G51" s="11"/>
      <c r="H51" s="11"/>
      <c r="I51" s="11"/>
      <c r="J51" s="11"/>
      <c r="K51" s="11"/>
      <c r="L51" s="11"/>
      <c r="M51" s="11"/>
      <c r="N51" s="11"/>
      <c r="O51" s="11"/>
    </row>
    <row r="52" spans="1:15" ht="18.75" x14ac:dyDescent="0.3">
      <c r="A52" s="11"/>
      <c r="B52" s="13" t="s">
        <v>95</v>
      </c>
      <c r="C52" s="11"/>
      <c r="D52" s="11"/>
      <c r="E52" s="11"/>
      <c r="F52" s="11"/>
      <c r="G52" s="11"/>
      <c r="H52" s="11"/>
      <c r="I52" s="11"/>
      <c r="J52" s="11"/>
      <c r="K52" s="11"/>
      <c r="L52" s="11"/>
      <c r="M52" s="11"/>
      <c r="N52" s="11"/>
      <c r="O52" s="11"/>
    </row>
    <row r="53" spans="1:15" ht="18.75" x14ac:dyDescent="0.3">
      <c r="A53" s="11"/>
      <c r="B53" s="42" t="s">
        <v>121</v>
      </c>
      <c r="C53" s="11"/>
      <c r="D53" s="11"/>
      <c r="E53" s="11"/>
      <c r="F53" s="11"/>
      <c r="G53" s="11"/>
      <c r="H53" s="11"/>
      <c r="I53" s="11"/>
      <c r="J53" s="11"/>
      <c r="K53" s="11"/>
      <c r="L53" s="11"/>
      <c r="M53" s="11"/>
      <c r="N53" s="11"/>
      <c r="O53" s="11"/>
    </row>
    <row r="54" spans="1:15" ht="18.75" x14ac:dyDescent="0.3">
      <c r="A54" s="11"/>
      <c r="B54" s="13" t="s">
        <v>97</v>
      </c>
      <c r="C54" s="11"/>
      <c r="D54" s="11"/>
      <c r="E54" s="11"/>
      <c r="F54" s="11"/>
      <c r="G54" s="11"/>
      <c r="H54" s="11"/>
      <c r="I54" s="11"/>
      <c r="J54" s="11"/>
      <c r="K54" s="11"/>
      <c r="L54" s="11"/>
      <c r="M54" s="11"/>
      <c r="N54" s="11"/>
      <c r="O54" s="11"/>
    </row>
    <row r="55" spans="1:15" ht="18.75" x14ac:dyDescent="0.3">
      <c r="A55" s="11"/>
      <c r="B55" s="13" t="s">
        <v>96</v>
      </c>
      <c r="C55" s="11"/>
      <c r="D55" s="11"/>
      <c r="E55" s="11"/>
      <c r="F55" s="11"/>
      <c r="G55" s="11"/>
      <c r="H55" s="11"/>
      <c r="I55" s="11"/>
      <c r="J55" s="11"/>
      <c r="K55" s="11"/>
      <c r="L55" s="11"/>
      <c r="M55" s="11"/>
      <c r="N55" s="11"/>
      <c r="O55" s="11"/>
    </row>
    <row r="56" spans="1:15" x14ac:dyDescent="0.25">
      <c r="A56" s="11"/>
      <c r="B56" s="11"/>
      <c r="C56" s="11"/>
      <c r="D56" s="11"/>
      <c r="E56" s="11"/>
      <c r="F56" s="11"/>
      <c r="G56" s="11"/>
      <c r="H56" s="11"/>
      <c r="I56" s="11"/>
      <c r="J56" s="11"/>
      <c r="K56" s="11"/>
      <c r="L56" s="11"/>
      <c r="M56" s="11"/>
      <c r="N56" s="11"/>
      <c r="O56" s="11"/>
    </row>
    <row r="57" spans="1:15" x14ac:dyDescent="0.25">
      <c r="A57" s="11"/>
      <c r="B57" s="11"/>
      <c r="C57" s="11"/>
      <c r="D57" s="11"/>
      <c r="E57" s="11"/>
      <c r="F57" s="11"/>
      <c r="G57" s="11"/>
      <c r="H57" s="11"/>
      <c r="I57" s="11"/>
      <c r="J57" s="11"/>
      <c r="K57" s="11"/>
      <c r="L57" s="11"/>
      <c r="M57" s="11"/>
      <c r="N57" s="11"/>
      <c r="O57" s="11"/>
    </row>
    <row r="58" spans="1:15" s="9" customFormat="1" ht="30" customHeight="1" x14ac:dyDescent="0.25">
      <c r="B58" s="21" t="s">
        <v>93</v>
      </c>
      <c r="C58" s="21"/>
      <c r="D58" s="21"/>
      <c r="E58" s="21"/>
      <c r="F58" s="21"/>
      <c r="G58" s="21"/>
      <c r="H58" s="21"/>
      <c r="I58" s="21"/>
      <c r="J58" s="21"/>
      <c r="K58" s="21"/>
      <c r="L58" s="21"/>
      <c r="M58" s="21"/>
      <c r="N58" s="21"/>
      <c r="O58" s="21"/>
    </row>
    <row r="59" spans="1:15" ht="18.75" x14ac:dyDescent="0.3">
      <c r="A59" s="11"/>
      <c r="B59" s="12" t="s">
        <v>94</v>
      </c>
      <c r="C59" s="11"/>
      <c r="D59" s="11"/>
      <c r="E59" s="11"/>
      <c r="F59" s="11"/>
      <c r="G59" s="11"/>
      <c r="H59" s="11"/>
      <c r="I59" s="11"/>
      <c r="J59" s="11"/>
      <c r="K59" s="11"/>
      <c r="L59" s="11"/>
      <c r="M59" s="11"/>
      <c r="N59" s="11"/>
      <c r="O59" s="11"/>
    </row>
    <row r="60" spans="1:15" ht="18.75" x14ac:dyDescent="0.3">
      <c r="A60" s="11"/>
      <c r="B60" s="13" t="s">
        <v>98</v>
      </c>
      <c r="C60" s="11"/>
      <c r="D60" s="11"/>
      <c r="E60" s="11"/>
      <c r="F60" s="11"/>
      <c r="G60" s="11"/>
      <c r="H60" s="11"/>
      <c r="I60" s="11"/>
      <c r="J60" s="11"/>
      <c r="K60" s="11"/>
      <c r="L60" s="11"/>
      <c r="M60" s="11"/>
      <c r="N60" s="11"/>
      <c r="O60" s="11"/>
    </row>
    <row r="61" spans="1:15" ht="18.75" x14ac:dyDescent="0.3">
      <c r="A61" s="11"/>
      <c r="B61" s="13" t="s">
        <v>99</v>
      </c>
      <c r="C61" s="11"/>
      <c r="D61" s="11"/>
      <c r="E61" s="11"/>
      <c r="F61" s="11"/>
      <c r="G61" s="11"/>
      <c r="H61" s="11"/>
      <c r="I61" s="11"/>
      <c r="J61" s="11"/>
      <c r="K61" s="11"/>
      <c r="L61" s="11"/>
      <c r="M61" s="11"/>
      <c r="N61" s="11"/>
      <c r="O61" s="11"/>
    </row>
    <row r="62" spans="1:15" ht="18.75" x14ac:dyDescent="0.3">
      <c r="A62" s="11"/>
      <c r="B62" s="13" t="s">
        <v>100</v>
      </c>
      <c r="C62" s="11"/>
      <c r="D62" s="11"/>
      <c r="E62" s="11"/>
      <c r="F62" s="11"/>
      <c r="G62" s="11"/>
      <c r="H62" s="11"/>
      <c r="I62" s="11"/>
      <c r="J62" s="11"/>
      <c r="K62" s="11"/>
      <c r="L62" s="11"/>
      <c r="M62" s="11"/>
      <c r="N62" s="11"/>
      <c r="O62" s="11"/>
    </row>
    <row r="63" spans="1:15" ht="18.75" x14ac:dyDescent="0.3">
      <c r="A63" s="11"/>
      <c r="B63" s="13" t="s">
        <v>101</v>
      </c>
      <c r="C63" s="11"/>
      <c r="D63" s="11"/>
      <c r="E63" s="11"/>
      <c r="F63" s="11"/>
      <c r="G63" s="11"/>
      <c r="H63" s="11"/>
      <c r="I63" s="11"/>
      <c r="J63" s="11"/>
      <c r="K63" s="11"/>
      <c r="L63" s="11"/>
      <c r="M63" s="11"/>
      <c r="N63" s="11"/>
      <c r="O63" s="11"/>
    </row>
    <row r="64" spans="1:15" x14ac:dyDescent="0.25">
      <c r="A64" s="11"/>
      <c r="B64" s="11"/>
      <c r="C64" s="11"/>
      <c r="D64" s="11"/>
      <c r="E64" s="11"/>
      <c r="F64" s="11"/>
      <c r="G64" s="11"/>
      <c r="H64" s="11"/>
      <c r="I64" s="11"/>
      <c r="J64" s="11"/>
      <c r="K64" s="11"/>
      <c r="L64" s="11"/>
      <c r="M64" s="11"/>
      <c r="N64" s="11"/>
      <c r="O64" s="11"/>
    </row>
    <row r="73" spans="2:3" x14ac:dyDescent="0.25">
      <c r="B73" s="2"/>
    </row>
    <row r="74" spans="2:3" x14ac:dyDescent="0.25">
      <c r="C74" s="7"/>
    </row>
  </sheetData>
  <mergeCells count="4">
    <mergeCell ref="A1:P1"/>
    <mergeCell ref="B41:O41"/>
    <mergeCell ref="B50:O50"/>
    <mergeCell ref="B58:O58"/>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DC4B476-E3C6-4617-B0C8-C04470240552}">
          <x14:formula1>
            <xm:f>'campaign_data'!$A:$A</xm:f>
          </x14:formula1>
          <xm:sqref>C74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FAA05B-6BA1-4659-BEF5-8161654CB0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campaign_data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chelagattabitha6@gmail.com</dc:creator>
  <cp:lastModifiedBy>chelagattabitha6@gmail.com</cp:lastModifiedBy>
  <dcterms:created xsi:type="dcterms:W3CDTF">2025-12-22T05:19:43Z</dcterms:created>
  <dcterms:modified xsi:type="dcterms:W3CDTF">2025-12-26T11:00:13Z</dcterms:modified>
</cp:coreProperties>
</file>