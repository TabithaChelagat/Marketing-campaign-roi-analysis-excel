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THINKPAD L530\Downloads\"/>
    </mc:Choice>
  </mc:AlternateContent>
  <xr:revisionPtr revIDLastSave="0" documentId="8_{B4D11661-8BDB-489E-B789-3D5DD9832E38}" xr6:coauthVersionLast="47" xr6:coauthVersionMax="47" xr10:uidLastSave="{00000000-0000-0000-0000-000000000000}"/>
  <bookViews>
    <workbookView xWindow="-120" yWindow="-120" windowWidth="20730" windowHeight="11310" xr2:uid="{B64C3842-845D-4ECD-8242-13E56AF2836E}"/>
  </bookViews>
  <sheets>
    <sheet name="campaign_data" sheetId="1" r:id="rId1"/>
  </sheets>
  <definedNames>
    <definedName name="ExternalData_1" localSheetId="0" hidden="1">'campaign_data'!$A$1:$K$53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3" i="1" l="1"/>
  <c r="Q53" i="1"/>
  <c r="P53" i="1"/>
  <c r="O53" i="1"/>
  <c r="N53" i="1"/>
  <c r="M53" i="1"/>
  <c r="L53" i="1"/>
  <c r="R52" i="1"/>
  <c r="Q52" i="1"/>
  <c r="P52" i="1"/>
  <c r="O52" i="1"/>
  <c r="N52" i="1"/>
  <c r="M52" i="1"/>
  <c r="L52" i="1"/>
  <c r="R51" i="1"/>
  <c r="Q51" i="1"/>
  <c r="P51" i="1"/>
  <c r="O51" i="1"/>
  <c r="N51" i="1"/>
  <c r="M51" i="1"/>
  <c r="L51" i="1"/>
  <c r="R50" i="1"/>
  <c r="Q50" i="1"/>
  <c r="P50" i="1"/>
  <c r="O50" i="1"/>
  <c r="N50" i="1"/>
  <c r="M50" i="1"/>
  <c r="L50" i="1"/>
  <c r="R49" i="1"/>
  <c r="Q49" i="1"/>
  <c r="P49" i="1"/>
  <c r="O49" i="1"/>
  <c r="N49" i="1"/>
  <c r="M49" i="1"/>
  <c r="L49" i="1"/>
  <c r="R48" i="1"/>
  <c r="Q48" i="1"/>
  <c r="P48" i="1"/>
  <c r="O48" i="1"/>
  <c r="N48" i="1"/>
  <c r="M48" i="1"/>
  <c r="L48" i="1"/>
  <c r="R47" i="1"/>
  <c r="Q47" i="1"/>
  <c r="P47" i="1"/>
  <c r="O47" i="1"/>
  <c r="N47" i="1"/>
  <c r="M47" i="1"/>
  <c r="L47" i="1"/>
  <c r="R46" i="1"/>
  <c r="Q46" i="1"/>
  <c r="P46" i="1"/>
  <c r="O46" i="1"/>
  <c r="N46" i="1"/>
  <c r="M46" i="1"/>
  <c r="L46" i="1"/>
  <c r="R45" i="1"/>
  <c r="Q45" i="1"/>
  <c r="P45" i="1"/>
  <c r="O45" i="1"/>
  <c r="N45" i="1"/>
  <c r="M45" i="1"/>
  <c r="L45" i="1"/>
  <c r="R44" i="1"/>
  <c r="Q44" i="1"/>
  <c r="P44" i="1"/>
  <c r="O44" i="1"/>
  <c r="N44" i="1"/>
  <c r="M44" i="1"/>
  <c r="L44" i="1"/>
  <c r="R43" i="1"/>
  <c r="Q43" i="1"/>
  <c r="P43" i="1"/>
  <c r="O43" i="1"/>
  <c r="N43" i="1"/>
  <c r="M43" i="1"/>
  <c r="L43" i="1"/>
  <c r="R42" i="1"/>
  <c r="Q42" i="1"/>
  <c r="P42" i="1"/>
  <c r="O42" i="1"/>
  <c r="N42" i="1"/>
  <c r="M42" i="1"/>
  <c r="L42" i="1"/>
  <c r="R41" i="1"/>
  <c r="Q41" i="1"/>
  <c r="P41" i="1"/>
  <c r="O41" i="1"/>
  <c r="N41" i="1"/>
  <c r="M41" i="1"/>
  <c r="L41" i="1"/>
  <c r="R40" i="1"/>
  <c r="Q40" i="1"/>
  <c r="P40" i="1"/>
  <c r="O40" i="1"/>
  <c r="N40" i="1"/>
  <c r="M40" i="1"/>
  <c r="L40" i="1"/>
  <c r="R39" i="1"/>
  <c r="Q39" i="1"/>
  <c r="P39" i="1"/>
  <c r="O39" i="1"/>
  <c r="N39" i="1"/>
  <c r="M39" i="1"/>
  <c r="L39" i="1"/>
  <c r="R38" i="1"/>
  <c r="Q38" i="1"/>
  <c r="P38" i="1"/>
  <c r="O38" i="1"/>
  <c r="N38" i="1"/>
  <c r="M38" i="1"/>
  <c r="L38" i="1"/>
  <c r="R37" i="1"/>
  <c r="Q37" i="1"/>
  <c r="P37" i="1"/>
  <c r="O37" i="1"/>
  <c r="N37" i="1"/>
  <c r="M37" i="1"/>
  <c r="L37" i="1"/>
  <c r="R36" i="1"/>
  <c r="Q36" i="1"/>
  <c r="P36" i="1"/>
  <c r="O36" i="1"/>
  <c r="N36" i="1"/>
  <c r="M36" i="1"/>
  <c r="L36" i="1"/>
  <c r="R35" i="1"/>
  <c r="Q35" i="1"/>
  <c r="P35" i="1"/>
  <c r="O35" i="1"/>
  <c r="N35" i="1"/>
  <c r="M35" i="1"/>
  <c r="L35" i="1"/>
  <c r="R34" i="1"/>
  <c r="Q34" i="1"/>
  <c r="P34" i="1"/>
  <c r="O34" i="1"/>
  <c r="N34" i="1"/>
  <c r="M34" i="1"/>
  <c r="L34" i="1"/>
  <c r="R33" i="1"/>
  <c r="Q33" i="1"/>
  <c r="P33" i="1"/>
  <c r="O33" i="1"/>
  <c r="N33" i="1"/>
  <c r="M33" i="1"/>
  <c r="L33" i="1"/>
  <c r="R32" i="1"/>
  <c r="Q32" i="1"/>
  <c r="P32" i="1"/>
  <c r="O32" i="1"/>
  <c r="N32" i="1"/>
  <c r="M32" i="1"/>
  <c r="L32" i="1"/>
  <c r="R31" i="1"/>
  <c r="Q31" i="1"/>
  <c r="P31" i="1"/>
  <c r="O31" i="1"/>
  <c r="N31" i="1"/>
  <c r="M31" i="1"/>
  <c r="L31" i="1"/>
  <c r="R30" i="1"/>
  <c r="Q30" i="1"/>
  <c r="P30" i="1"/>
  <c r="O30" i="1"/>
  <c r="N30" i="1"/>
  <c r="M30" i="1"/>
  <c r="L30" i="1"/>
  <c r="R29" i="1"/>
  <c r="Q29" i="1"/>
  <c r="P29" i="1"/>
  <c r="O29" i="1"/>
  <c r="N29" i="1"/>
  <c r="M29" i="1"/>
  <c r="L29" i="1"/>
  <c r="R28" i="1"/>
  <c r="Q28" i="1"/>
  <c r="P28" i="1"/>
  <c r="O28" i="1"/>
  <c r="N28" i="1"/>
  <c r="M28" i="1"/>
  <c r="L28" i="1"/>
  <c r="R27" i="1"/>
  <c r="Q27" i="1"/>
  <c r="P27" i="1"/>
  <c r="O27" i="1"/>
  <c r="N27" i="1"/>
  <c r="M27" i="1"/>
  <c r="L27" i="1"/>
  <c r="R26" i="1"/>
  <c r="Q26" i="1"/>
  <c r="P26" i="1"/>
  <c r="O26" i="1"/>
  <c r="N26" i="1"/>
  <c r="M26" i="1"/>
  <c r="L26" i="1"/>
  <c r="R25" i="1"/>
  <c r="Q25" i="1"/>
  <c r="P25" i="1"/>
  <c r="O25" i="1"/>
  <c r="N25" i="1"/>
  <c r="M25" i="1"/>
  <c r="L25" i="1"/>
  <c r="R24" i="1"/>
  <c r="Q24" i="1"/>
  <c r="P24" i="1"/>
  <c r="O24" i="1"/>
  <c r="N24" i="1"/>
  <c r="M24" i="1"/>
  <c r="L24" i="1"/>
  <c r="R23" i="1"/>
  <c r="Q23" i="1"/>
  <c r="P23" i="1"/>
  <c r="O23" i="1"/>
  <c r="N23" i="1"/>
  <c r="M23" i="1"/>
  <c r="L23" i="1"/>
  <c r="R22" i="1"/>
  <c r="Q22" i="1"/>
  <c r="P22" i="1"/>
  <c r="O22" i="1"/>
  <c r="N22" i="1"/>
  <c r="M22" i="1"/>
  <c r="L22" i="1"/>
  <c r="R21" i="1"/>
  <c r="Q21" i="1"/>
  <c r="P21" i="1"/>
  <c r="O21" i="1"/>
  <c r="N21" i="1"/>
  <c r="M21" i="1"/>
  <c r="L21" i="1"/>
  <c r="R20" i="1"/>
  <c r="Q20" i="1"/>
  <c r="P20" i="1"/>
  <c r="O20" i="1"/>
  <c r="N20" i="1"/>
  <c r="M20" i="1"/>
  <c r="L20" i="1"/>
  <c r="R19" i="1"/>
  <c r="Q19" i="1"/>
  <c r="P19" i="1"/>
  <c r="O19" i="1"/>
  <c r="N19" i="1"/>
  <c r="M19" i="1"/>
  <c r="L19" i="1"/>
  <c r="R18" i="1"/>
  <c r="Q18" i="1"/>
  <c r="P18" i="1"/>
  <c r="O18" i="1"/>
  <c r="N18" i="1"/>
  <c r="M18" i="1"/>
  <c r="L18" i="1"/>
  <c r="R17" i="1"/>
  <c r="Q17" i="1"/>
  <c r="P17" i="1"/>
  <c r="O17" i="1"/>
  <c r="N17" i="1"/>
  <c r="M17" i="1"/>
  <c r="L17" i="1"/>
  <c r="R16" i="1"/>
  <c r="Q16" i="1"/>
  <c r="P16" i="1"/>
  <c r="O16" i="1"/>
  <c r="N16" i="1"/>
  <c r="M16" i="1"/>
  <c r="L16" i="1"/>
  <c r="R15" i="1"/>
  <c r="Q15" i="1"/>
  <c r="P15" i="1"/>
  <c r="O15" i="1"/>
  <c r="N15" i="1"/>
  <c r="M15" i="1"/>
  <c r="L15" i="1"/>
  <c r="R14" i="1"/>
  <c r="Q14" i="1"/>
  <c r="P14" i="1"/>
  <c r="O14" i="1"/>
  <c r="N14" i="1"/>
  <c r="M14" i="1"/>
  <c r="L14" i="1"/>
  <c r="R13" i="1"/>
  <c r="Q13" i="1"/>
  <c r="P13" i="1"/>
  <c r="O13" i="1"/>
  <c r="N13" i="1"/>
  <c r="M13" i="1"/>
  <c r="L13" i="1"/>
  <c r="R12" i="1"/>
  <c r="Q12" i="1"/>
  <c r="P12" i="1"/>
  <c r="O12" i="1"/>
  <c r="N12" i="1"/>
  <c r="M12" i="1"/>
  <c r="L12" i="1"/>
  <c r="R11" i="1"/>
  <c r="Q11" i="1"/>
  <c r="P11" i="1"/>
  <c r="O11" i="1"/>
  <c r="N11" i="1"/>
  <c r="M11" i="1"/>
  <c r="L11" i="1"/>
  <c r="R10" i="1"/>
  <c r="Q10" i="1"/>
  <c r="P10" i="1"/>
  <c r="O10" i="1"/>
  <c r="N10" i="1"/>
  <c r="M10" i="1"/>
  <c r="L10" i="1"/>
  <c r="R9" i="1"/>
  <c r="Q9" i="1"/>
  <c r="P9" i="1"/>
  <c r="O9" i="1"/>
  <c r="N9" i="1"/>
  <c r="M9" i="1"/>
  <c r="L9" i="1"/>
  <c r="R8" i="1"/>
  <c r="Q8" i="1"/>
  <c r="P8" i="1"/>
  <c r="O8" i="1"/>
  <c r="N8" i="1"/>
  <c r="M8" i="1"/>
  <c r="L8" i="1"/>
  <c r="R7" i="1"/>
  <c r="Q7" i="1"/>
  <c r="P7" i="1"/>
  <c r="O7" i="1"/>
  <c r="N7" i="1"/>
  <c r="M7" i="1"/>
  <c r="L7" i="1"/>
  <c r="R6" i="1"/>
  <c r="Q6" i="1"/>
  <c r="P6" i="1"/>
  <c r="O6" i="1"/>
  <c r="N6" i="1"/>
  <c r="M6" i="1"/>
  <c r="L6" i="1"/>
  <c r="R5" i="1"/>
  <c r="Q5" i="1"/>
  <c r="P5" i="1"/>
  <c r="O5" i="1"/>
  <c r="N5" i="1"/>
  <c r="M5" i="1"/>
  <c r="L5" i="1"/>
  <c r="R4" i="1"/>
  <c r="Q4" i="1"/>
  <c r="P4" i="1"/>
  <c r="O4" i="1"/>
  <c r="N4" i="1"/>
  <c r="M4" i="1"/>
  <c r="L4" i="1"/>
  <c r="R3" i="1"/>
  <c r="Q3" i="1"/>
  <c r="P3" i="1"/>
  <c r="O3" i="1"/>
  <c r="N3" i="1"/>
  <c r="M3" i="1"/>
  <c r="L3" i="1"/>
  <c r="R2" i="1"/>
  <c r="Q2" i="1"/>
  <c r="P2" i="1"/>
  <c r="O2" i="1"/>
  <c r="N2" i="1"/>
  <c r="M2" i="1"/>
  <c r="L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8823F0-3BAE-4D97-A4DF-6FD8E02AAF84}" keepAlive="1" name="Query - campaign_data" description="Connection to the 'campaign_data' query in the workbook." type="5" refreshedVersion="8" background="1" saveData="1">
    <dbPr connection="Provider=Microsoft.Mashup.OleDb.1;Data Source=$Workbook$;Location=campaign_data;Extended Properties=&quot;&quot;" command="SELECT * FROM [campaign_data]"/>
  </connection>
</connections>
</file>

<file path=xl/sharedStrings.xml><?xml version="1.0" encoding="utf-8"?>
<sst xmlns="http://schemas.openxmlformats.org/spreadsheetml/2006/main" count="174" uniqueCount="78">
  <si>
    <t>Campaign Name</t>
  </si>
  <si>
    <t>Channel</t>
  </si>
  <si>
    <t>Region</t>
  </si>
  <si>
    <t>Start Date</t>
  </si>
  <si>
    <t>End Date</t>
  </si>
  <si>
    <t>Spend</t>
  </si>
  <si>
    <t>Impressions</t>
  </si>
  <si>
    <t>Clicks</t>
  </si>
  <si>
    <t>Leads</t>
  </si>
  <si>
    <t>Conversions</t>
  </si>
  <si>
    <t>Revenue</t>
  </si>
  <si>
    <t>CTR (Click-Through Rate)</t>
  </si>
  <si>
    <t>LEAD CONVERSION RATE</t>
  </si>
  <si>
    <t>CONVERSION RATE</t>
  </si>
  <si>
    <t>CPL (Cost Per Lead)</t>
  </si>
  <si>
    <t>CPA (Cost Per Acquisition)</t>
  </si>
  <si>
    <t>ROI % (Return on Investment)</t>
  </si>
  <si>
    <t>Profit</t>
  </si>
  <si>
    <t>Q1 Email Blast</t>
  </si>
  <si>
    <t>Email</t>
  </si>
  <si>
    <t>North America</t>
  </si>
  <si>
    <t>Spring Social Push</t>
  </si>
  <si>
    <t>Social</t>
  </si>
  <si>
    <t>Europe</t>
  </si>
  <si>
    <t>Google Ads - Brand</t>
  </si>
  <si>
    <t>Paid Ads</t>
  </si>
  <si>
    <t>Asia Pacific</t>
  </si>
  <si>
    <t>Facebook Retargeting</t>
  </si>
  <si>
    <t>Latin America</t>
  </si>
  <si>
    <t>LinkedIn B2B Campaign</t>
  </si>
  <si>
    <t>Instagram Influencer</t>
  </si>
  <si>
    <t>Email Newsletter</t>
  </si>
  <si>
    <t>YouTube Pre-roll</t>
  </si>
  <si>
    <t>Twitter Engagement</t>
  </si>
  <si>
    <t>Google Ads - Product</t>
  </si>
  <si>
    <t>Email Promo</t>
  </si>
  <si>
    <t>TikTok Brand Awareness</t>
  </si>
  <si>
    <t>Referral Program</t>
  </si>
  <si>
    <t>Referral</t>
  </si>
  <si>
    <t>Affiliate Marketing</t>
  </si>
  <si>
    <t>Display Ads Network</t>
  </si>
  <si>
    <t>Email Welcome Series</t>
  </si>
  <si>
    <t>Facebook Lead Gen</t>
  </si>
  <si>
    <t>LinkedIn Sponsored</t>
  </si>
  <si>
    <t>Instagram Stories</t>
  </si>
  <si>
    <t>Google Shopping Ads</t>
  </si>
  <si>
    <t>Email Cart Abandonment</t>
  </si>
  <si>
    <t>Snapchat Ads</t>
  </si>
  <si>
    <t>Pinterest Promoted</t>
  </si>
  <si>
    <t>Reddit Sponsored</t>
  </si>
  <si>
    <t>Q2 Email Campaign</t>
  </si>
  <si>
    <t>Summer Sale Social</t>
  </si>
  <si>
    <t>Google Ads - Competitor</t>
  </si>
  <si>
    <t>Facebook Lookalike</t>
  </si>
  <si>
    <t>LinkedIn Content</t>
  </si>
  <si>
    <t>Instagram Reels</t>
  </si>
  <si>
    <t>Email Re-engagement</t>
  </si>
  <si>
    <t>YouTube Influencer</t>
  </si>
  <si>
    <t>Twitter Ads</t>
  </si>
  <si>
    <t>Google Display</t>
  </si>
  <si>
    <t>Email Product Launch</t>
  </si>
  <si>
    <t>TikTok Challenge</t>
  </si>
  <si>
    <t>Referral Bonus</t>
  </si>
  <si>
    <t>Affiliate Network</t>
  </si>
  <si>
    <t>Native Ads</t>
  </si>
  <si>
    <t>Email Loyalty Program</t>
  </si>
  <si>
    <t>Facebook Video Ads</t>
  </si>
  <si>
    <t>LinkedIn InMail</t>
  </si>
  <si>
    <t>Instagram Shopping</t>
  </si>
  <si>
    <t>Google Smart Campaign</t>
  </si>
  <si>
    <t>Email Birthday Series</t>
  </si>
  <si>
    <t>Snapchat Filter</t>
  </si>
  <si>
    <t>Pinterest Catalog</t>
  </si>
  <si>
    <t>Reddit Community</t>
  </si>
  <si>
    <t>Q3 Email Push</t>
  </si>
  <si>
    <t>Fall Campaign Social</t>
  </si>
  <si>
    <t>Google Ads - Local</t>
  </si>
  <si>
    <t>Facebook Engagement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</si>
</sst>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1DBF08-C4A8-412D-8E6F-B2561DB87AA5}" autoFormatId="16" applyNumberFormats="0" applyBorderFormats="0" applyFontFormats="0" applyPatternFormats="0" applyAlignmentFormats="0" applyWidthHeightFormats="0">
  <queryTableRefresh nextId="19" unboundColumnsRight="7">
    <queryTableFields count="18">
      <queryTableField id="1" name="Campaign Name" tableColumnId="1"/>
      <queryTableField id="2" name="Channel" tableColumnId="2"/>
      <queryTableField id="3" name="Region" tableColumnId="3"/>
      <queryTableField id="4" name="Start Date" tableColumnId="4"/>
      <queryTableField id="5" name="End Date" tableColumnId="5"/>
      <queryTableField id="6" name="Spend" tableColumnId="6"/>
      <queryTableField id="7" name="Impressions" tableColumnId="7"/>
      <queryTableField id="8" name="Clicks" tableColumnId="8"/>
      <queryTableField id="9" name="Leads" tableColumnId="9"/>
      <queryTableField id="10" name="Conversions" tableColumnId="10"/>
      <queryTableField id="11" name="Revenue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F60AE8-AE3F-436B-92E5-79D121B0C159}" name="campaign_data" displayName="campaign_data" ref="A1:R53" tableType="queryTable" totalsRowShown="0">
  <autoFilter ref="A1:R53" xr:uid="{EE32CFA7-E521-4621-9831-D09082E5B509}"/>
  <tableColumns count="18">
    <tableColumn id="1" xr3:uid="{EA921FAA-DB9D-4075-80E9-09645237DBA2}" uniqueName="1" name="Campaign Name" queryTableFieldId="1" dataDxfId="11"/>
    <tableColumn id="2" xr3:uid="{EF3F892C-D71C-48E2-A759-1FF609B21D07}" uniqueName="2" name="Channel" queryTableFieldId="2" dataDxfId="10"/>
    <tableColumn id="3" xr3:uid="{D4C62EF5-2C39-4FBC-804C-16589974008A}" uniqueName="3" name="Region" queryTableFieldId="3" dataDxfId="9"/>
    <tableColumn id="4" xr3:uid="{502CEFA2-16DE-4B2D-A9E5-BBA4BA7A3ECE}" uniqueName="4" name="Start Date" queryTableFieldId="4" dataDxfId="8"/>
    <tableColumn id="5" xr3:uid="{A0D24CD7-3320-4FCB-A3C2-094D68D4B108}" uniqueName="5" name="End Date" queryTableFieldId="5" dataDxfId="7"/>
    <tableColumn id="6" xr3:uid="{D480256C-72C7-463D-9518-DE62EB9F92FA}" uniqueName="6" name="Spend" queryTableFieldId="6"/>
    <tableColumn id="7" xr3:uid="{AB230C4B-2F51-4D8A-8245-B104C1BA8DD3}" uniqueName="7" name="Impressions" queryTableFieldId="7"/>
    <tableColumn id="8" xr3:uid="{9F3787F6-127F-422B-AA2A-B391A81D9D8A}" uniqueName="8" name="Clicks" queryTableFieldId="8"/>
    <tableColumn id="9" xr3:uid="{0354641A-5F04-4482-BDEA-E10816893C0C}" uniqueName="9" name="Leads" queryTableFieldId="9"/>
    <tableColumn id="10" xr3:uid="{A41EE5B0-A093-4C48-9286-D1B90CF1A6F2}" uniqueName="10" name="Conversions" queryTableFieldId="10"/>
    <tableColumn id="11" xr3:uid="{ECE3CD41-C5F1-432D-9860-CDA02A6D21D1}" uniqueName="11" name="Revenue" queryTableFieldId="11"/>
    <tableColumn id="12" xr3:uid="{EC538674-F1F0-4909-8426-73A02AFD5AF1}" uniqueName="12" name="CTR (Click-Through Rate)" queryTableFieldId="12" dataDxfId="6">
      <calculatedColumnFormula>campaign_data[[#This Row],[Clicks]]/campaign_data[[#This Row],[Impressions]]</calculatedColumnFormula>
    </tableColumn>
    <tableColumn id="13" xr3:uid="{75FE4462-60B6-46CA-8324-7F5E04EF40DF}" uniqueName="13" name="LEAD CONVERSION RATE" queryTableFieldId="13" dataDxfId="5">
      <calculatedColumnFormula>campaign_data[[#This Row],[Leads]]/campaign_data[[#This Row],[Clicks]]</calculatedColumnFormula>
    </tableColumn>
    <tableColumn id="14" xr3:uid="{2D74F4FD-8041-481A-908B-2D77038E18C2}" uniqueName="14" name="CONVERSION RATE" queryTableFieldId="14" dataDxfId="4">
      <calculatedColumnFormula>campaign_data[[#This Row],[Conversions]]/campaign_data[[#This Row],[Leads]]</calculatedColumnFormula>
    </tableColumn>
    <tableColumn id="15" xr3:uid="{73496E74-53CB-47DD-98E3-2A7146E97D2D}" uniqueName="15" name="CPL (Cost Per Lead)" queryTableFieldId="15" dataDxfId="3">
      <calculatedColumnFormula>campaign_data[[#This Row],[Spend]]/campaign_data[[#This Row],[Leads]]</calculatedColumnFormula>
    </tableColumn>
    <tableColumn id="16" xr3:uid="{BF7CD3DC-0CE2-4A63-B83E-4E7D0271D5E2}" uniqueName="16" name="CPA (Cost Per Acquisition)" queryTableFieldId="16" dataDxfId="2">
      <calculatedColumnFormula>IF(campaign_data[[#This Row],[Conversions]] &gt; 0, campaign_data[[#This Row],[Spend]]/campaign_data[[#This Row],[Conversions]], 0)</calculatedColumnFormula>
    </tableColumn>
    <tableColumn id="17" xr3:uid="{1A9BC2D6-124F-4371-88CF-0E8D289BB693}" uniqueName="17" name="ROI % (Return on Investment)" queryTableFieldId="17" dataDxfId="1">
      <calculatedColumnFormula>IF(campaign_data[[#This Row],[Spend]]&gt;0, (campaign_data[[#This Row],[Revenue]]-campaign_data[[#This Row],[Spend]])/campaign_data[[#This Row],[Spend]],0)</calculatedColumnFormula>
    </tableColumn>
    <tableColumn id="18" xr3:uid="{6AB1C471-7B58-478B-B5D3-2E2663F6640F}" uniqueName="18" name="Profit" queryTableFieldId="18" dataDxfId="0">
      <calculatedColumnFormula>campaign_data[[#This Row],[Revenue]]-campaign_data[[#This Row],[Spend]]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15EA4-0AFD-4A23-94A6-E60498E4891C}">
  <dimension ref="A1:R53"/>
  <sheetViews>
    <sheetView tabSelected="1" topLeftCell="A2" workbookViewId="0">
      <selection activeCell="D11" sqref="D11"/>
    </sheetView>
  </sheetViews>
  <sheetFormatPr defaultRowHeight="15" x14ac:dyDescent="0.25"/>
  <cols>
    <col min="1" max="1" width="23.42578125" bestFit="1" customWidth="1"/>
    <col min="2" max="2" width="10.5703125" bestFit="1" customWidth="1"/>
    <col min="3" max="3" width="14" bestFit="1" customWidth="1"/>
    <col min="4" max="4" width="12" bestFit="1" customWidth="1"/>
    <col min="5" max="5" width="11.140625" bestFit="1" customWidth="1"/>
    <col min="6" max="6" width="8.85546875" bestFit="1" customWidth="1"/>
    <col min="7" max="7" width="14" bestFit="1" customWidth="1"/>
    <col min="8" max="9" width="8.28515625" bestFit="1" customWidth="1"/>
    <col min="10" max="10" width="14.140625" bestFit="1" customWidth="1"/>
    <col min="11" max="11" width="11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s="1">
        <v>45292</v>
      </c>
      <c r="E2" s="1">
        <v>45326</v>
      </c>
      <c r="F2">
        <v>1472</v>
      </c>
      <c r="G2">
        <v>12064</v>
      </c>
      <c r="H2">
        <v>2741</v>
      </c>
      <c r="I2">
        <v>368</v>
      </c>
      <c r="J2">
        <v>41</v>
      </c>
      <c r="K2">
        <v>6400</v>
      </c>
      <c r="L2">
        <f>campaign_data[[#This Row],[Clicks]]/campaign_data[[#This Row],[Impressions]]</f>
        <v>0.22720490716180372</v>
      </c>
      <c r="M2">
        <f>campaign_data[[#This Row],[Leads]]/campaign_data[[#This Row],[Clicks]]</f>
        <v>0.13425757022984311</v>
      </c>
      <c r="N2">
        <f>campaign_data[[#This Row],[Conversions]]/campaign_data[[#This Row],[Leads]]</f>
        <v>0.11141304347826086</v>
      </c>
      <c r="O2">
        <f>campaign_data[[#This Row],[Spend]]/campaign_data[[#This Row],[Leads]]</f>
        <v>4</v>
      </c>
      <c r="P2">
        <f>IF(campaign_data[[#This Row],[Conversions]] &gt; 0, campaign_data[[#This Row],[Spend]]/campaign_data[[#This Row],[Conversions]], 0)</f>
        <v>35.902439024390247</v>
      </c>
      <c r="Q2">
        <f>IF(campaign_data[[#This Row],[Spend]]&gt;0, (campaign_data[[#This Row],[Revenue]]-campaign_data[[#This Row],[Spend]])/campaign_data[[#This Row],[Spend]],0)</f>
        <v>3.347826086956522</v>
      </c>
      <c r="R2">
        <f>campaign_data[[#This Row],[Revenue]]-campaign_data[[#This Row],[Spend]]</f>
        <v>4928</v>
      </c>
    </row>
    <row r="3" spans="1:18" x14ac:dyDescent="0.25">
      <c r="A3" t="s">
        <v>21</v>
      </c>
      <c r="B3" t="s">
        <v>22</v>
      </c>
      <c r="C3" t="s">
        <v>23</v>
      </c>
      <c r="D3" s="1">
        <v>45297</v>
      </c>
      <c r="E3" s="1">
        <v>45329</v>
      </c>
      <c r="F3">
        <v>4240</v>
      </c>
      <c r="G3">
        <v>38091</v>
      </c>
      <c r="H3">
        <v>3238</v>
      </c>
      <c r="I3">
        <v>269</v>
      </c>
      <c r="J3">
        <v>13</v>
      </c>
      <c r="K3">
        <v>6324</v>
      </c>
      <c r="L3">
        <f>campaign_data[[#This Row],[Clicks]]/campaign_data[[#This Row],[Impressions]]</f>
        <v>8.5006957023968918E-2</v>
      </c>
      <c r="M3">
        <f>campaign_data[[#This Row],[Leads]]/campaign_data[[#This Row],[Clicks]]</f>
        <v>8.3075972822730076E-2</v>
      </c>
      <c r="N3">
        <f>campaign_data[[#This Row],[Conversions]]/campaign_data[[#This Row],[Leads]]</f>
        <v>4.8327137546468404E-2</v>
      </c>
      <c r="O3">
        <f>campaign_data[[#This Row],[Spend]]/campaign_data[[#This Row],[Leads]]</f>
        <v>15.762081784386616</v>
      </c>
      <c r="P3">
        <f>IF(campaign_data[[#This Row],[Conversions]] &gt; 0, campaign_data[[#This Row],[Spend]]/campaign_data[[#This Row],[Conversions]], 0)</f>
        <v>326.15384615384613</v>
      </c>
      <c r="Q3">
        <f>IF(campaign_data[[#This Row],[Spend]]&gt;0, (campaign_data[[#This Row],[Revenue]]-campaign_data[[#This Row],[Spend]])/campaign_data[[#This Row],[Spend]],0)</f>
        <v>0.49150943396226415</v>
      </c>
      <c r="R3">
        <f>campaign_data[[#This Row],[Revenue]]-campaign_data[[#This Row],[Spend]]</f>
        <v>2084</v>
      </c>
    </row>
    <row r="4" spans="1:18" x14ac:dyDescent="0.25">
      <c r="A4" t="s">
        <v>24</v>
      </c>
      <c r="B4" t="s">
        <v>25</v>
      </c>
      <c r="C4" t="s">
        <v>26</v>
      </c>
      <c r="D4" s="1">
        <v>45303</v>
      </c>
      <c r="E4" s="1">
        <v>45328</v>
      </c>
      <c r="F4">
        <v>6088</v>
      </c>
      <c r="G4">
        <v>191467</v>
      </c>
      <c r="H4">
        <v>4661</v>
      </c>
      <c r="I4">
        <v>588</v>
      </c>
      <c r="J4">
        <v>25</v>
      </c>
      <c r="K4">
        <v>7538</v>
      </c>
      <c r="L4">
        <f>campaign_data[[#This Row],[Clicks]]/campaign_data[[#This Row],[Impressions]]</f>
        <v>2.4343620571691205E-2</v>
      </c>
      <c r="M4">
        <f>campaign_data[[#This Row],[Leads]]/campaign_data[[#This Row],[Clicks]]</f>
        <v>0.12615318601158548</v>
      </c>
      <c r="N4">
        <f>campaign_data[[#This Row],[Conversions]]/campaign_data[[#This Row],[Leads]]</f>
        <v>4.2517006802721087E-2</v>
      </c>
      <c r="O4">
        <f>campaign_data[[#This Row],[Spend]]/campaign_data[[#This Row],[Leads]]</f>
        <v>10.353741496598639</v>
      </c>
      <c r="P4">
        <f>IF(campaign_data[[#This Row],[Conversions]] &gt; 0, campaign_data[[#This Row],[Spend]]/campaign_data[[#This Row],[Conversions]], 0)</f>
        <v>243.52</v>
      </c>
      <c r="Q4">
        <f>IF(campaign_data[[#This Row],[Spend]]&gt;0, (campaign_data[[#This Row],[Revenue]]-campaign_data[[#This Row],[Spend]])/campaign_data[[#This Row],[Spend]],0)</f>
        <v>0.23817345597897505</v>
      </c>
      <c r="R4">
        <f>campaign_data[[#This Row],[Revenue]]-campaign_data[[#This Row],[Spend]]</f>
        <v>1450</v>
      </c>
    </row>
    <row r="5" spans="1:18" x14ac:dyDescent="0.25">
      <c r="A5" t="s">
        <v>27</v>
      </c>
      <c r="B5" t="s">
        <v>22</v>
      </c>
      <c r="C5" t="s">
        <v>28</v>
      </c>
      <c r="D5" s="1">
        <v>45308</v>
      </c>
      <c r="E5" s="1">
        <v>45333</v>
      </c>
      <c r="F5">
        <v>1710</v>
      </c>
      <c r="G5">
        <v>76568</v>
      </c>
      <c r="H5">
        <v>6706</v>
      </c>
      <c r="I5">
        <v>684</v>
      </c>
      <c r="J5">
        <v>40</v>
      </c>
      <c r="K5">
        <v>17537</v>
      </c>
      <c r="L5">
        <f>campaign_data[[#This Row],[Clicks]]/campaign_data[[#This Row],[Impressions]]</f>
        <v>8.758227980357329E-2</v>
      </c>
      <c r="M5">
        <f>campaign_data[[#This Row],[Leads]]/campaign_data[[#This Row],[Clicks]]</f>
        <v>0.10199821055770951</v>
      </c>
      <c r="N5">
        <f>campaign_data[[#This Row],[Conversions]]/campaign_data[[#This Row],[Leads]]</f>
        <v>5.8479532163742687E-2</v>
      </c>
      <c r="O5">
        <f>campaign_data[[#This Row],[Spend]]/campaign_data[[#This Row],[Leads]]</f>
        <v>2.5</v>
      </c>
      <c r="P5">
        <f>IF(campaign_data[[#This Row],[Conversions]] &gt; 0, campaign_data[[#This Row],[Spend]]/campaign_data[[#This Row],[Conversions]], 0)</f>
        <v>42.75</v>
      </c>
      <c r="Q5">
        <f>IF(campaign_data[[#This Row],[Spend]]&gt;0, (campaign_data[[#This Row],[Revenue]]-campaign_data[[#This Row],[Spend]])/campaign_data[[#This Row],[Spend]],0)</f>
        <v>9.2555555555555564</v>
      </c>
      <c r="R5">
        <f>campaign_data[[#This Row],[Revenue]]-campaign_data[[#This Row],[Spend]]</f>
        <v>15827</v>
      </c>
    </row>
    <row r="6" spans="1:18" x14ac:dyDescent="0.25">
      <c r="A6" t="s">
        <v>29</v>
      </c>
      <c r="B6" t="s">
        <v>22</v>
      </c>
      <c r="C6" t="s">
        <v>20</v>
      </c>
      <c r="D6" s="1">
        <v>45314</v>
      </c>
      <c r="E6" s="1">
        <v>45344</v>
      </c>
      <c r="F6">
        <v>4435</v>
      </c>
      <c r="G6">
        <v>57116</v>
      </c>
      <c r="H6">
        <v>3593</v>
      </c>
      <c r="I6">
        <v>340</v>
      </c>
      <c r="J6">
        <v>36</v>
      </c>
      <c r="K6">
        <v>11622</v>
      </c>
      <c r="L6">
        <f>campaign_data[[#This Row],[Clicks]]/campaign_data[[#This Row],[Impressions]]</f>
        <v>6.2907066321170949E-2</v>
      </c>
      <c r="M6">
        <f>campaign_data[[#This Row],[Leads]]/campaign_data[[#This Row],[Clicks]]</f>
        <v>9.4628444197049813E-2</v>
      </c>
      <c r="N6">
        <f>campaign_data[[#This Row],[Conversions]]/campaign_data[[#This Row],[Leads]]</f>
        <v>0.10588235294117647</v>
      </c>
      <c r="O6">
        <f>campaign_data[[#This Row],[Spend]]/campaign_data[[#This Row],[Leads]]</f>
        <v>13.044117647058824</v>
      </c>
      <c r="P6">
        <f>IF(campaign_data[[#This Row],[Conversions]] &gt; 0, campaign_data[[#This Row],[Spend]]/campaign_data[[#This Row],[Conversions]], 0)</f>
        <v>123.19444444444444</v>
      </c>
      <c r="Q6">
        <f>IF(campaign_data[[#This Row],[Spend]]&gt;0, (campaign_data[[#This Row],[Revenue]]-campaign_data[[#This Row],[Spend]])/campaign_data[[#This Row],[Spend]],0)</f>
        <v>1.6205186020293123</v>
      </c>
      <c r="R6">
        <f>campaign_data[[#This Row],[Revenue]]-campaign_data[[#This Row],[Spend]]</f>
        <v>7187</v>
      </c>
    </row>
    <row r="7" spans="1:18" x14ac:dyDescent="0.25">
      <c r="A7" t="s">
        <v>30</v>
      </c>
      <c r="B7" t="s">
        <v>22</v>
      </c>
      <c r="C7" t="s">
        <v>23</v>
      </c>
      <c r="D7" s="1">
        <v>45319</v>
      </c>
      <c r="E7" s="1">
        <v>45355</v>
      </c>
      <c r="F7">
        <v>4477</v>
      </c>
      <c r="G7">
        <v>38111</v>
      </c>
      <c r="H7" s="2">
        <v>10045</v>
      </c>
      <c r="I7">
        <v>1100</v>
      </c>
      <c r="J7">
        <v>126</v>
      </c>
      <c r="K7">
        <v>38341</v>
      </c>
      <c r="L7">
        <f>campaign_data[[#This Row],[Clicks]]/campaign_data[[#This Row],[Impressions]]</f>
        <v>0.26357219700348983</v>
      </c>
      <c r="M7">
        <f>campaign_data[[#This Row],[Leads]]/campaign_data[[#This Row],[Clicks]]</f>
        <v>0.1095072175211548</v>
      </c>
      <c r="N7">
        <f>campaign_data[[#This Row],[Conversions]]/campaign_data[[#This Row],[Leads]]</f>
        <v>0.11454545454545455</v>
      </c>
      <c r="O7">
        <f>campaign_data[[#This Row],[Spend]]/campaign_data[[#This Row],[Leads]]</f>
        <v>4.07</v>
      </c>
      <c r="P7">
        <f>IF(campaign_data[[#This Row],[Conversions]] &gt; 0, campaign_data[[#This Row],[Spend]]/campaign_data[[#This Row],[Conversions]], 0)</f>
        <v>35.531746031746032</v>
      </c>
      <c r="Q7">
        <f>IF(campaign_data[[#This Row],[Spend]]&gt;0, (campaign_data[[#This Row],[Revenue]]-campaign_data[[#This Row],[Spend]])/campaign_data[[#This Row],[Spend]],0)</f>
        <v>7.5639937458119277</v>
      </c>
      <c r="R7">
        <f>campaign_data[[#This Row],[Revenue]]-campaign_data[[#This Row],[Spend]]</f>
        <v>33864</v>
      </c>
    </row>
    <row r="8" spans="1:18" x14ac:dyDescent="0.25">
      <c r="A8" t="s">
        <v>31</v>
      </c>
      <c r="B8" t="s">
        <v>19</v>
      </c>
      <c r="C8" t="s">
        <v>26</v>
      </c>
      <c r="D8" s="1">
        <v>45325</v>
      </c>
      <c r="E8" s="1">
        <v>45358</v>
      </c>
      <c r="F8">
        <v>689</v>
      </c>
      <c r="G8">
        <v>14303</v>
      </c>
      <c r="H8">
        <v>3512</v>
      </c>
      <c r="I8">
        <v>533</v>
      </c>
      <c r="J8">
        <v>62</v>
      </c>
      <c r="K8">
        <v>24389</v>
      </c>
      <c r="L8">
        <f>campaign_data[[#This Row],[Clicks]]/campaign_data[[#This Row],[Impressions]]</f>
        <v>0.24554289309934979</v>
      </c>
      <c r="M8">
        <f>campaign_data[[#This Row],[Leads]]/campaign_data[[#This Row],[Clicks]]</f>
        <v>0.15176537585421412</v>
      </c>
      <c r="N8">
        <f>campaign_data[[#This Row],[Conversions]]/campaign_data[[#This Row],[Leads]]</f>
        <v>0.11632270168855535</v>
      </c>
      <c r="O8">
        <f>campaign_data[[#This Row],[Spend]]/campaign_data[[#This Row],[Leads]]</f>
        <v>1.2926829268292683</v>
      </c>
      <c r="P8">
        <f>IF(campaign_data[[#This Row],[Conversions]] &gt; 0, campaign_data[[#This Row],[Spend]]/campaign_data[[#This Row],[Conversions]], 0)</f>
        <v>11.112903225806452</v>
      </c>
      <c r="Q8">
        <f>IF(campaign_data[[#This Row],[Spend]]&gt;0, (campaign_data[[#This Row],[Revenue]]-campaign_data[[#This Row],[Spend]])/campaign_data[[#This Row],[Spend]],0)</f>
        <v>34.397677793904208</v>
      </c>
      <c r="R8">
        <f>campaign_data[[#This Row],[Revenue]]-campaign_data[[#This Row],[Spend]]</f>
        <v>23700</v>
      </c>
    </row>
    <row r="9" spans="1:18" x14ac:dyDescent="0.25">
      <c r="A9" t="s">
        <v>32</v>
      </c>
      <c r="B9" t="s">
        <v>22</v>
      </c>
      <c r="C9" t="s">
        <v>28</v>
      </c>
      <c r="D9" s="1">
        <v>45330</v>
      </c>
      <c r="E9" s="1">
        <v>45358</v>
      </c>
      <c r="F9">
        <v>4208</v>
      </c>
      <c r="G9">
        <v>70611</v>
      </c>
      <c r="H9">
        <v>6044</v>
      </c>
      <c r="I9">
        <v>539</v>
      </c>
      <c r="J9">
        <v>46</v>
      </c>
      <c r="K9">
        <v>11047</v>
      </c>
      <c r="L9">
        <f>campaign_data[[#This Row],[Clicks]]/campaign_data[[#This Row],[Impressions]]</f>
        <v>8.559572871082409E-2</v>
      </c>
      <c r="M9">
        <f>campaign_data[[#This Row],[Leads]]/campaign_data[[#This Row],[Clicks]]</f>
        <v>8.9179351422898748E-2</v>
      </c>
      <c r="N9">
        <f>campaign_data[[#This Row],[Conversions]]/campaign_data[[#This Row],[Leads]]</f>
        <v>8.534322820037106E-2</v>
      </c>
      <c r="O9">
        <f>campaign_data[[#This Row],[Spend]]/campaign_data[[#This Row],[Leads]]</f>
        <v>7.8070500927643787</v>
      </c>
      <c r="P9">
        <f>IF(campaign_data[[#This Row],[Conversions]] &gt; 0, campaign_data[[#This Row],[Spend]]/campaign_data[[#This Row],[Conversions]], 0)</f>
        <v>91.478260869565219</v>
      </c>
      <c r="Q9">
        <f>IF(campaign_data[[#This Row],[Spend]]&gt;0, (campaign_data[[#This Row],[Revenue]]-campaign_data[[#This Row],[Spend]])/campaign_data[[#This Row],[Spend]],0)</f>
        <v>1.6252376425855513</v>
      </c>
      <c r="R9">
        <f>campaign_data[[#This Row],[Revenue]]-campaign_data[[#This Row],[Spend]]</f>
        <v>6839</v>
      </c>
    </row>
    <row r="10" spans="1:18" x14ac:dyDescent="0.25">
      <c r="A10" t="s">
        <v>33</v>
      </c>
      <c r="B10" t="s">
        <v>22</v>
      </c>
      <c r="C10" t="s">
        <v>20</v>
      </c>
      <c r="D10" s="1">
        <v>45336</v>
      </c>
      <c r="E10" s="1">
        <v>45373</v>
      </c>
      <c r="F10">
        <v>2208</v>
      </c>
      <c r="G10">
        <v>23816</v>
      </c>
      <c r="H10">
        <v>2196</v>
      </c>
      <c r="I10">
        <v>199</v>
      </c>
      <c r="J10">
        <v>18</v>
      </c>
      <c r="K10">
        <v>5234</v>
      </c>
      <c r="L10">
        <f>campaign_data[[#This Row],[Clicks]]/campaign_data[[#This Row],[Impressions]]</f>
        <v>9.2206919717836747E-2</v>
      </c>
      <c r="M10">
        <f>campaign_data[[#This Row],[Leads]]/campaign_data[[#This Row],[Clicks]]</f>
        <v>9.0619307832422585E-2</v>
      </c>
      <c r="N10">
        <f>campaign_data[[#This Row],[Conversions]]/campaign_data[[#This Row],[Leads]]</f>
        <v>9.0452261306532666E-2</v>
      </c>
      <c r="O10">
        <f>campaign_data[[#This Row],[Spend]]/campaign_data[[#This Row],[Leads]]</f>
        <v>11.095477386934673</v>
      </c>
      <c r="P10">
        <f>IF(campaign_data[[#This Row],[Conversions]] &gt; 0, campaign_data[[#This Row],[Spend]]/campaign_data[[#This Row],[Conversions]], 0)</f>
        <v>122.66666666666667</v>
      </c>
      <c r="Q10">
        <f>IF(campaign_data[[#This Row],[Spend]]&gt;0, (campaign_data[[#This Row],[Revenue]]-campaign_data[[#This Row],[Spend]])/campaign_data[[#This Row],[Spend]],0)</f>
        <v>1.3704710144927537</v>
      </c>
      <c r="R10">
        <f>campaign_data[[#This Row],[Revenue]]-campaign_data[[#This Row],[Spend]]</f>
        <v>3026</v>
      </c>
    </row>
    <row r="11" spans="1:18" x14ac:dyDescent="0.25">
      <c r="A11" t="s">
        <v>34</v>
      </c>
      <c r="B11" t="s">
        <v>25</v>
      </c>
      <c r="C11" t="s">
        <v>23</v>
      </c>
      <c r="D11" s="1">
        <v>45341</v>
      </c>
      <c r="E11" s="1">
        <v>45383</v>
      </c>
      <c r="F11">
        <v>2861</v>
      </c>
      <c r="G11">
        <v>208334</v>
      </c>
      <c r="H11">
        <v>9358</v>
      </c>
      <c r="I11">
        <v>858</v>
      </c>
      <c r="J11">
        <v>78</v>
      </c>
      <c r="K11">
        <v>22529</v>
      </c>
      <c r="L11">
        <f>campaign_data[[#This Row],[Clicks]]/campaign_data[[#This Row],[Impressions]]</f>
        <v>4.4918256261579963E-2</v>
      </c>
      <c r="M11">
        <f>campaign_data[[#This Row],[Leads]]/campaign_data[[#This Row],[Clicks]]</f>
        <v>9.1686257747381913E-2</v>
      </c>
      <c r="N11">
        <f>campaign_data[[#This Row],[Conversions]]/campaign_data[[#This Row],[Leads]]</f>
        <v>9.0909090909090912E-2</v>
      </c>
      <c r="O11">
        <f>campaign_data[[#This Row],[Spend]]/campaign_data[[#This Row],[Leads]]</f>
        <v>3.3344988344988344</v>
      </c>
      <c r="P11">
        <f>IF(campaign_data[[#This Row],[Conversions]] &gt; 0, campaign_data[[#This Row],[Spend]]/campaign_data[[#This Row],[Conversions]], 0)</f>
        <v>36.679487179487182</v>
      </c>
      <c r="Q11">
        <f>IF(campaign_data[[#This Row],[Spend]]&gt;0, (campaign_data[[#This Row],[Revenue]]-campaign_data[[#This Row],[Spend]])/campaign_data[[#This Row],[Spend]],0)</f>
        <v>6.8745193988116045</v>
      </c>
      <c r="R11">
        <f>campaign_data[[#This Row],[Revenue]]-campaign_data[[#This Row],[Spend]]</f>
        <v>19668</v>
      </c>
    </row>
    <row r="12" spans="1:18" x14ac:dyDescent="0.25">
      <c r="A12" t="s">
        <v>35</v>
      </c>
      <c r="B12" t="s">
        <v>19</v>
      </c>
      <c r="C12" t="s">
        <v>26</v>
      </c>
      <c r="D12" s="1">
        <v>45347</v>
      </c>
      <c r="E12" s="1">
        <v>45370</v>
      </c>
      <c r="F12">
        <v>1907</v>
      </c>
      <c r="G12">
        <v>13227</v>
      </c>
      <c r="H12">
        <v>2411</v>
      </c>
      <c r="I12">
        <v>424</v>
      </c>
      <c r="J12">
        <v>49</v>
      </c>
      <c r="K12">
        <v>22684</v>
      </c>
      <c r="L12">
        <f>campaign_data[[#This Row],[Clicks]]/campaign_data[[#This Row],[Impressions]]</f>
        <v>0.1822786724124896</v>
      </c>
      <c r="M12">
        <f>campaign_data[[#This Row],[Leads]]/campaign_data[[#This Row],[Clicks]]</f>
        <v>0.1758606387391124</v>
      </c>
      <c r="N12">
        <f>campaign_data[[#This Row],[Conversions]]/campaign_data[[#This Row],[Leads]]</f>
        <v>0.11556603773584906</v>
      </c>
      <c r="O12">
        <f>campaign_data[[#This Row],[Spend]]/campaign_data[[#This Row],[Leads]]</f>
        <v>4.4976415094339623</v>
      </c>
      <c r="P12">
        <f>IF(campaign_data[[#This Row],[Conversions]] &gt; 0, campaign_data[[#This Row],[Spend]]/campaign_data[[#This Row],[Conversions]], 0)</f>
        <v>38.918367346938773</v>
      </c>
      <c r="Q12">
        <f>IF(campaign_data[[#This Row],[Spend]]&gt;0, (campaign_data[[#This Row],[Revenue]]-campaign_data[[#This Row],[Spend]])/campaign_data[[#This Row],[Spend]],0)</f>
        <v>10.89512323020451</v>
      </c>
      <c r="R12">
        <f>campaign_data[[#This Row],[Revenue]]-campaign_data[[#This Row],[Spend]]</f>
        <v>20777</v>
      </c>
    </row>
    <row r="13" spans="1:18" x14ac:dyDescent="0.25">
      <c r="A13" t="s">
        <v>36</v>
      </c>
      <c r="B13" t="s">
        <v>22</v>
      </c>
      <c r="C13" t="s">
        <v>28</v>
      </c>
      <c r="D13" s="1">
        <v>45352</v>
      </c>
      <c r="E13" s="1">
        <v>45387</v>
      </c>
      <c r="F13">
        <v>1313</v>
      </c>
      <c r="G13">
        <v>37132</v>
      </c>
      <c r="H13">
        <v>3364</v>
      </c>
      <c r="I13">
        <v>443</v>
      </c>
      <c r="J13">
        <v>31</v>
      </c>
      <c r="K13">
        <v>9969</v>
      </c>
      <c r="L13">
        <f>campaign_data[[#This Row],[Clicks]]/campaign_data[[#This Row],[Impressions]]</f>
        <v>9.059571259291177E-2</v>
      </c>
      <c r="M13">
        <f>campaign_data[[#This Row],[Leads]]/campaign_data[[#This Row],[Clicks]]</f>
        <v>0.13168846611177171</v>
      </c>
      <c r="N13">
        <f>campaign_data[[#This Row],[Conversions]]/campaign_data[[#This Row],[Leads]]</f>
        <v>6.9977426636568849E-2</v>
      </c>
      <c r="O13">
        <f>campaign_data[[#This Row],[Spend]]/campaign_data[[#This Row],[Leads]]</f>
        <v>2.9638826185101581</v>
      </c>
      <c r="P13">
        <f>IF(campaign_data[[#This Row],[Conversions]] &gt; 0, campaign_data[[#This Row],[Spend]]/campaign_data[[#This Row],[Conversions]], 0)</f>
        <v>42.354838709677416</v>
      </c>
      <c r="Q13">
        <f>IF(campaign_data[[#This Row],[Spend]]&gt;0, (campaign_data[[#This Row],[Revenue]]-campaign_data[[#This Row],[Spend]])/campaign_data[[#This Row],[Spend]],0)</f>
        <v>6.5925361766945922</v>
      </c>
      <c r="R13">
        <f>campaign_data[[#This Row],[Revenue]]-campaign_data[[#This Row],[Spend]]</f>
        <v>8656</v>
      </c>
    </row>
    <row r="14" spans="1:18" x14ac:dyDescent="0.25">
      <c r="A14" t="s">
        <v>37</v>
      </c>
      <c r="B14" t="s">
        <v>38</v>
      </c>
      <c r="C14" t="s">
        <v>20</v>
      </c>
      <c r="D14" s="1">
        <v>45358</v>
      </c>
      <c r="E14" s="1">
        <v>45389</v>
      </c>
      <c r="F14">
        <v>944</v>
      </c>
      <c r="G14">
        <v>1718</v>
      </c>
      <c r="H14">
        <v>472</v>
      </c>
      <c r="I14">
        <v>145</v>
      </c>
      <c r="J14">
        <v>37</v>
      </c>
      <c r="K14">
        <v>7471</v>
      </c>
      <c r="L14">
        <f>campaign_data[[#This Row],[Clicks]]/campaign_data[[#This Row],[Impressions]]</f>
        <v>0.27473806752037255</v>
      </c>
      <c r="M14">
        <f>campaign_data[[#This Row],[Leads]]/campaign_data[[#This Row],[Clicks]]</f>
        <v>0.30720338983050849</v>
      </c>
      <c r="N14">
        <f>campaign_data[[#This Row],[Conversions]]/campaign_data[[#This Row],[Leads]]</f>
        <v>0.25517241379310346</v>
      </c>
      <c r="O14">
        <f>campaign_data[[#This Row],[Spend]]/campaign_data[[#This Row],[Leads]]</f>
        <v>6.5103448275862066</v>
      </c>
      <c r="P14">
        <f>IF(campaign_data[[#This Row],[Conversions]] &gt; 0, campaign_data[[#This Row],[Spend]]/campaign_data[[#This Row],[Conversions]], 0)</f>
        <v>25.513513513513512</v>
      </c>
      <c r="Q14">
        <f>IF(campaign_data[[#This Row],[Spend]]&gt;0, (campaign_data[[#This Row],[Revenue]]-campaign_data[[#This Row],[Spend]])/campaign_data[[#This Row],[Spend]],0)</f>
        <v>6.914194915254237</v>
      </c>
      <c r="R14">
        <f>campaign_data[[#This Row],[Revenue]]-campaign_data[[#This Row],[Spend]]</f>
        <v>6527</v>
      </c>
    </row>
    <row r="15" spans="1:18" x14ac:dyDescent="0.25">
      <c r="A15" t="s">
        <v>39</v>
      </c>
      <c r="B15" t="s">
        <v>38</v>
      </c>
      <c r="C15" t="s">
        <v>23</v>
      </c>
      <c r="D15" s="1">
        <v>45363</v>
      </c>
      <c r="E15" s="1">
        <v>45387</v>
      </c>
      <c r="F15">
        <v>504</v>
      </c>
      <c r="G15">
        <v>2876</v>
      </c>
      <c r="H15">
        <v>743</v>
      </c>
      <c r="I15">
        <v>311</v>
      </c>
      <c r="J15">
        <v>94</v>
      </c>
      <c r="K15">
        <v>14687</v>
      </c>
      <c r="L15">
        <f>campaign_data[[#This Row],[Clicks]]/campaign_data[[#This Row],[Impressions]]</f>
        <v>0.25834492350486787</v>
      </c>
      <c r="M15">
        <f>campaign_data[[#This Row],[Leads]]/campaign_data[[#This Row],[Clicks]]</f>
        <v>0.41857335127860029</v>
      </c>
      <c r="N15">
        <f>campaign_data[[#This Row],[Conversions]]/campaign_data[[#This Row],[Leads]]</f>
        <v>0.30225080385852088</v>
      </c>
      <c r="O15">
        <f>campaign_data[[#This Row],[Spend]]/campaign_data[[#This Row],[Leads]]</f>
        <v>1.6205787781350482</v>
      </c>
      <c r="P15">
        <f>IF(campaign_data[[#This Row],[Conversions]] &gt; 0, campaign_data[[#This Row],[Spend]]/campaign_data[[#This Row],[Conversions]], 0)</f>
        <v>5.3617021276595747</v>
      </c>
      <c r="Q15">
        <f>IF(campaign_data[[#This Row],[Spend]]&gt;0, (campaign_data[[#This Row],[Revenue]]-campaign_data[[#This Row],[Spend]])/campaign_data[[#This Row],[Spend]],0)</f>
        <v>28.140873015873016</v>
      </c>
      <c r="R15">
        <f>campaign_data[[#This Row],[Revenue]]-campaign_data[[#This Row],[Spend]]</f>
        <v>14183</v>
      </c>
    </row>
    <row r="16" spans="1:18" x14ac:dyDescent="0.25">
      <c r="A16" t="s">
        <v>40</v>
      </c>
      <c r="B16" t="s">
        <v>25</v>
      </c>
      <c r="C16" t="s">
        <v>26</v>
      </c>
      <c r="D16" s="1">
        <v>45369</v>
      </c>
      <c r="E16" s="1">
        <v>45383</v>
      </c>
      <c r="F16">
        <v>2557</v>
      </c>
      <c r="G16">
        <v>209101</v>
      </c>
      <c r="H16">
        <v>5807</v>
      </c>
      <c r="I16">
        <v>353</v>
      </c>
      <c r="J16">
        <v>18</v>
      </c>
      <c r="K16">
        <v>6850</v>
      </c>
      <c r="L16">
        <f>campaign_data[[#This Row],[Clicks]]/campaign_data[[#This Row],[Impressions]]</f>
        <v>2.777126843008881E-2</v>
      </c>
      <c r="M16">
        <f>campaign_data[[#This Row],[Leads]]/campaign_data[[#This Row],[Clicks]]</f>
        <v>6.0788703289133807E-2</v>
      </c>
      <c r="N16">
        <f>campaign_data[[#This Row],[Conversions]]/campaign_data[[#This Row],[Leads]]</f>
        <v>5.0991501416430593E-2</v>
      </c>
      <c r="O16">
        <f>campaign_data[[#This Row],[Spend]]/campaign_data[[#This Row],[Leads]]</f>
        <v>7.2436260623229458</v>
      </c>
      <c r="P16">
        <f>IF(campaign_data[[#This Row],[Conversions]] &gt; 0, campaign_data[[#This Row],[Spend]]/campaign_data[[#This Row],[Conversions]], 0)</f>
        <v>142.05555555555554</v>
      </c>
      <c r="Q16">
        <f>IF(campaign_data[[#This Row],[Spend]]&gt;0, (campaign_data[[#This Row],[Revenue]]-campaign_data[[#This Row],[Spend]])/campaign_data[[#This Row],[Spend]],0)</f>
        <v>1.6789206100899492</v>
      </c>
      <c r="R16">
        <f>campaign_data[[#This Row],[Revenue]]-campaign_data[[#This Row],[Spend]]</f>
        <v>4293</v>
      </c>
    </row>
    <row r="17" spans="1:18" x14ac:dyDescent="0.25">
      <c r="A17" t="s">
        <v>41</v>
      </c>
      <c r="B17" t="s">
        <v>19</v>
      </c>
      <c r="C17" t="s">
        <v>28</v>
      </c>
      <c r="D17" s="1">
        <v>45374</v>
      </c>
      <c r="E17" s="1">
        <v>45389</v>
      </c>
      <c r="F17">
        <v>1356</v>
      </c>
      <c r="G17">
        <v>7821</v>
      </c>
      <c r="H17">
        <v>1216</v>
      </c>
      <c r="I17">
        <v>179</v>
      </c>
      <c r="J17">
        <v>21</v>
      </c>
      <c r="K17">
        <v>9235</v>
      </c>
      <c r="L17">
        <f>campaign_data[[#This Row],[Clicks]]/campaign_data[[#This Row],[Impressions]]</f>
        <v>0.15547883902314283</v>
      </c>
      <c r="M17">
        <f>campaign_data[[#This Row],[Leads]]/campaign_data[[#This Row],[Clicks]]</f>
        <v>0.14720394736842105</v>
      </c>
      <c r="N17">
        <f>campaign_data[[#This Row],[Conversions]]/campaign_data[[#This Row],[Leads]]</f>
        <v>0.11731843575418995</v>
      </c>
      <c r="O17">
        <f>campaign_data[[#This Row],[Spend]]/campaign_data[[#This Row],[Leads]]</f>
        <v>7.5754189944134076</v>
      </c>
      <c r="P17">
        <f>IF(campaign_data[[#This Row],[Conversions]] &gt; 0, campaign_data[[#This Row],[Spend]]/campaign_data[[#This Row],[Conversions]], 0)</f>
        <v>64.571428571428569</v>
      </c>
      <c r="Q17">
        <f>IF(campaign_data[[#This Row],[Spend]]&gt;0, (campaign_data[[#This Row],[Revenue]]-campaign_data[[#This Row],[Spend]])/campaign_data[[#This Row],[Spend]],0)</f>
        <v>5.8104719764011801</v>
      </c>
      <c r="R17">
        <f>campaign_data[[#This Row],[Revenue]]-campaign_data[[#This Row],[Spend]]</f>
        <v>7879</v>
      </c>
    </row>
    <row r="18" spans="1:18" x14ac:dyDescent="0.25">
      <c r="A18" t="s">
        <v>42</v>
      </c>
      <c r="B18" t="s">
        <v>22</v>
      </c>
      <c r="C18" t="s">
        <v>20</v>
      </c>
      <c r="D18" s="1">
        <v>45380</v>
      </c>
      <c r="E18" s="1">
        <v>45411</v>
      </c>
      <c r="F18">
        <v>2708</v>
      </c>
      <c r="G18">
        <v>81202</v>
      </c>
      <c r="H18">
        <v>6922</v>
      </c>
      <c r="I18">
        <v>667</v>
      </c>
      <c r="J18">
        <v>41</v>
      </c>
      <c r="K18">
        <v>13672</v>
      </c>
      <c r="L18">
        <f>campaign_data[[#This Row],[Clicks]]/campaign_data[[#This Row],[Impressions]]</f>
        <v>8.5244205807738727E-2</v>
      </c>
      <c r="M18">
        <f>campaign_data[[#This Row],[Leads]]/campaign_data[[#This Row],[Clicks]]</f>
        <v>9.6359433689685067E-2</v>
      </c>
      <c r="N18">
        <f>campaign_data[[#This Row],[Conversions]]/campaign_data[[#This Row],[Leads]]</f>
        <v>6.1469265367316339E-2</v>
      </c>
      <c r="O18">
        <f>campaign_data[[#This Row],[Spend]]/campaign_data[[#This Row],[Leads]]</f>
        <v>4.059970014992504</v>
      </c>
      <c r="P18">
        <f>IF(campaign_data[[#This Row],[Conversions]] &gt; 0, campaign_data[[#This Row],[Spend]]/campaign_data[[#This Row],[Conversions]], 0)</f>
        <v>66.048780487804876</v>
      </c>
      <c r="Q18">
        <f>IF(campaign_data[[#This Row],[Spend]]&gt;0, (campaign_data[[#This Row],[Revenue]]-campaign_data[[#This Row],[Spend]])/campaign_data[[#This Row],[Spend]],0)</f>
        <v>4.0487444608567209</v>
      </c>
      <c r="R18">
        <f>campaign_data[[#This Row],[Revenue]]-campaign_data[[#This Row],[Spend]]</f>
        <v>10964</v>
      </c>
    </row>
    <row r="19" spans="1:18" x14ac:dyDescent="0.25">
      <c r="A19" t="s">
        <v>43</v>
      </c>
      <c r="B19" t="s">
        <v>22</v>
      </c>
      <c r="C19" t="s">
        <v>23</v>
      </c>
      <c r="D19" s="1">
        <v>45385</v>
      </c>
      <c r="E19" s="1">
        <v>45410</v>
      </c>
      <c r="F19">
        <v>2766</v>
      </c>
      <c r="G19">
        <v>68702</v>
      </c>
      <c r="H19">
        <v>4553</v>
      </c>
      <c r="I19">
        <v>663</v>
      </c>
      <c r="J19">
        <v>50</v>
      </c>
      <c r="K19">
        <v>23173</v>
      </c>
      <c r="L19">
        <f>campaign_data[[#This Row],[Clicks]]/campaign_data[[#This Row],[Impressions]]</f>
        <v>6.6271724258391312E-2</v>
      </c>
      <c r="M19">
        <f>campaign_data[[#This Row],[Leads]]/campaign_data[[#This Row],[Clicks]]</f>
        <v>0.14561827366571492</v>
      </c>
      <c r="N19">
        <f>campaign_data[[#This Row],[Conversions]]/campaign_data[[#This Row],[Leads]]</f>
        <v>7.5414781297134234E-2</v>
      </c>
      <c r="O19">
        <f>campaign_data[[#This Row],[Spend]]/campaign_data[[#This Row],[Leads]]</f>
        <v>4.1719457013574663</v>
      </c>
      <c r="P19">
        <f>IF(campaign_data[[#This Row],[Conversions]] &gt; 0, campaign_data[[#This Row],[Spend]]/campaign_data[[#This Row],[Conversions]], 0)</f>
        <v>55.32</v>
      </c>
      <c r="Q19">
        <f>IF(campaign_data[[#This Row],[Spend]]&gt;0, (campaign_data[[#This Row],[Revenue]]-campaign_data[[#This Row],[Spend]])/campaign_data[[#This Row],[Spend]],0)</f>
        <v>7.3778018799710772</v>
      </c>
      <c r="R19">
        <f>campaign_data[[#This Row],[Revenue]]-campaign_data[[#This Row],[Spend]]</f>
        <v>20407</v>
      </c>
    </row>
    <row r="20" spans="1:18" x14ac:dyDescent="0.25">
      <c r="A20" t="s">
        <v>44</v>
      </c>
      <c r="B20" t="s">
        <v>22</v>
      </c>
      <c r="C20" t="s">
        <v>26</v>
      </c>
      <c r="D20" s="1">
        <v>45391</v>
      </c>
      <c r="E20" s="1">
        <v>45417</v>
      </c>
      <c r="F20">
        <v>1629</v>
      </c>
      <c r="G20">
        <v>27245</v>
      </c>
      <c r="H20">
        <v>2019</v>
      </c>
      <c r="I20">
        <v>276</v>
      </c>
      <c r="J20">
        <v>21</v>
      </c>
      <c r="K20">
        <v>8152</v>
      </c>
      <c r="L20">
        <f>campaign_data[[#This Row],[Clicks]]/campaign_data[[#This Row],[Impressions]]</f>
        <v>7.4105340429436589E-2</v>
      </c>
      <c r="M20">
        <f>campaign_data[[#This Row],[Leads]]/campaign_data[[#This Row],[Clicks]]</f>
        <v>0.13670133729569092</v>
      </c>
      <c r="N20">
        <f>campaign_data[[#This Row],[Conversions]]/campaign_data[[#This Row],[Leads]]</f>
        <v>7.6086956521739135E-2</v>
      </c>
      <c r="O20">
        <f>campaign_data[[#This Row],[Spend]]/campaign_data[[#This Row],[Leads]]</f>
        <v>5.9021739130434785</v>
      </c>
      <c r="P20">
        <f>IF(campaign_data[[#This Row],[Conversions]] &gt; 0, campaign_data[[#This Row],[Spend]]/campaign_data[[#This Row],[Conversions]], 0)</f>
        <v>77.571428571428569</v>
      </c>
      <c r="Q20">
        <f>IF(campaign_data[[#This Row],[Spend]]&gt;0, (campaign_data[[#This Row],[Revenue]]-campaign_data[[#This Row],[Spend]])/campaign_data[[#This Row],[Spend]],0)</f>
        <v>4.004297114794352</v>
      </c>
      <c r="R20">
        <f>campaign_data[[#This Row],[Revenue]]-campaign_data[[#This Row],[Spend]]</f>
        <v>6523</v>
      </c>
    </row>
    <row r="21" spans="1:18" x14ac:dyDescent="0.25">
      <c r="A21" t="s">
        <v>45</v>
      </c>
      <c r="B21" t="s">
        <v>25</v>
      </c>
      <c r="C21" t="s">
        <v>28</v>
      </c>
      <c r="D21" s="1">
        <v>45396</v>
      </c>
      <c r="E21" s="1">
        <v>45411</v>
      </c>
      <c r="F21">
        <v>7159</v>
      </c>
      <c r="G21">
        <v>116743</v>
      </c>
      <c r="H21">
        <v>5301</v>
      </c>
      <c r="I21">
        <v>393</v>
      </c>
      <c r="J21">
        <v>34</v>
      </c>
      <c r="K21">
        <v>11676</v>
      </c>
      <c r="L21">
        <f>campaign_data[[#This Row],[Clicks]]/campaign_data[[#This Row],[Impressions]]</f>
        <v>4.5407433422132375E-2</v>
      </c>
      <c r="M21">
        <f>campaign_data[[#This Row],[Leads]]/campaign_data[[#This Row],[Clicks]]</f>
        <v>7.4136955291454448E-2</v>
      </c>
      <c r="N21">
        <f>campaign_data[[#This Row],[Conversions]]/campaign_data[[#This Row],[Leads]]</f>
        <v>8.6513994910941472E-2</v>
      </c>
      <c r="O21">
        <f>campaign_data[[#This Row],[Spend]]/campaign_data[[#This Row],[Leads]]</f>
        <v>18.216284987277355</v>
      </c>
      <c r="P21">
        <f>IF(campaign_data[[#This Row],[Conversions]] &gt; 0, campaign_data[[#This Row],[Spend]]/campaign_data[[#This Row],[Conversions]], 0)</f>
        <v>210.55882352941177</v>
      </c>
      <c r="Q21">
        <f>IF(campaign_data[[#This Row],[Spend]]&gt;0, (campaign_data[[#This Row],[Revenue]]-campaign_data[[#This Row],[Spend]])/campaign_data[[#This Row],[Spend]],0)</f>
        <v>0.63095404386087439</v>
      </c>
      <c r="R21">
        <f>campaign_data[[#This Row],[Revenue]]-campaign_data[[#This Row],[Spend]]</f>
        <v>4517</v>
      </c>
    </row>
    <row r="22" spans="1:18" x14ac:dyDescent="0.25">
      <c r="A22" t="s">
        <v>46</v>
      </c>
      <c r="B22" t="s">
        <v>19</v>
      </c>
      <c r="C22" t="s">
        <v>20</v>
      </c>
      <c r="D22" s="1">
        <v>45402</v>
      </c>
      <c r="E22" s="1">
        <v>45437</v>
      </c>
      <c r="F22">
        <v>1190</v>
      </c>
      <c r="G22">
        <v>14141</v>
      </c>
      <c r="H22">
        <v>2585</v>
      </c>
      <c r="I22">
        <v>494</v>
      </c>
      <c r="J22">
        <v>45</v>
      </c>
      <c r="K22">
        <v>12889</v>
      </c>
      <c r="L22">
        <f>campaign_data[[#This Row],[Clicks]]/campaign_data[[#This Row],[Impressions]]</f>
        <v>0.18280178205218867</v>
      </c>
      <c r="M22">
        <f>campaign_data[[#This Row],[Leads]]/campaign_data[[#This Row],[Clicks]]</f>
        <v>0.19110251450676982</v>
      </c>
      <c r="N22">
        <f>campaign_data[[#This Row],[Conversions]]/campaign_data[[#This Row],[Leads]]</f>
        <v>9.1093117408906882E-2</v>
      </c>
      <c r="O22">
        <f>campaign_data[[#This Row],[Spend]]/campaign_data[[#This Row],[Leads]]</f>
        <v>2.4089068825910931</v>
      </c>
      <c r="P22">
        <f>IF(campaign_data[[#This Row],[Conversions]] &gt; 0, campaign_data[[#This Row],[Spend]]/campaign_data[[#This Row],[Conversions]], 0)</f>
        <v>26.444444444444443</v>
      </c>
      <c r="Q22">
        <f>IF(campaign_data[[#This Row],[Spend]]&gt;0, (campaign_data[[#This Row],[Revenue]]-campaign_data[[#This Row],[Spend]])/campaign_data[[#This Row],[Spend]],0)</f>
        <v>9.8310924369747905</v>
      </c>
      <c r="R22">
        <f>campaign_data[[#This Row],[Revenue]]-campaign_data[[#This Row],[Spend]]</f>
        <v>11699</v>
      </c>
    </row>
    <row r="23" spans="1:18" x14ac:dyDescent="0.25">
      <c r="A23" t="s">
        <v>47</v>
      </c>
      <c r="B23" t="s">
        <v>25</v>
      </c>
      <c r="C23" t="s">
        <v>23</v>
      </c>
      <c r="D23" s="1">
        <v>45407</v>
      </c>
      <c r="E23" s="1">
        <v>45441</v>
      </c>
      <c r="F23">
        <v>9431</v>
      </c>
      <c r="G23">
        <v>203765</v>
      </c>
      <c r="H23">
        <v>9168</v>
      </c>
      <c r="I23">
        <v>1057</v>
      </c>
      <c r="J23">
        <v>88</v>
      </c>
      <c r="K23">
        <v>19000</v>
      </c>
      <c r="L23">
        <f>campaign_data[[#This Row],[Clicks]]/campaign_data[[#This Row],[Impressions]]</f>
        <v>4.4993006649817188E-2</v>
      </c>
      <c r="M23">
        <f>campaign_data[[#This Row],[Leads]]/campaign_data[[#This Row],[Clicks]]</f>
        <v>0.11529232111692844</v>
      </c>
      <c r="N23">
        <f>campaign_data[[#This Row],[Conversions]]/campaign_data[[#This Row],[Leads]]</f>
        <v>8.3254493850520347E-2</v>
      </c>
      <c r="O23">
        <f>campaign_data[[#This Row],[Spend]]/campaign_data[[#This Row],[Leads]]</f>
        <v>8.9224219489120156</v>
      </c>
      <c r="P23">
        <f>IF(campaign_data[[#This Row],[Conversions]] &gt; 0, campaign_data[[#This Row],[Spend]]/campaign_data[[#This Row],[Conversions]], 0)</f>
        <v>107.17045454545455</v>
      </c>
      <c r="Q23">
        <f>IF(campaign_data[[#This Row],[Spend]]&gt;0, (campaign_data[[#This Row],[Revenue]]-campaign_data[[#This Row],[Spend]])/campaign_data[[#This Row],[Spend]],0)</f>
        <v>1.0146325946347152</v>
      </c>
      <c r="R23">
        <f>campaign_data[[#This Row],[Revenue]]-campaign_data[[#This Row],[Spend]]</f>
        <v>9569</v>
      </c>
    </row>
    <row r="24" spans="1:18" x14ac:dyDescent="0.25">
      <c r="A24" t="s">
        <v>48</v>
      </c>
      <c r="B24" t="s">
        <v>22</v>
      </c>
      <c r="C24" t="s">
        <v>26</v>
      </c>
      <c r="D24" s="1">
        <v>45413</v>
      </c>
      <c r="E24" s="1">
        <v>45436</v>
      </c>
      <c r="F24">
        <v>4518</v>
      </c>
      <c r="G24">
        <v>28150</v>
      </c>
      <c r="H24">
        <v>1739</v>
      </c>
      <c r="I24">
        <v>227</v>
      </c>
      <c r="J24">
        <v>19</v>
      </c>
      <c r="K24">
        <v>3002</v>
      </c>
      <c r="L24">
        <f>campaign_data[[#This Row],[Clicks]]/campaign_data[[#This Row],[Impressions]]</f>
        <v>6.1776198934280636E-2</v>
      </c>
      <c r="M24">
        <f>campaign_data[[#This Row],[Leads]]/campaign_data[[#This Row],[Clicks]]</f>
        <v>0.1305347901092582</v>
      </c>
      <c r="N24">
        <f>campaign_data[[#This Row],[Conversions]]/campaign_data[[#This Row],[Leads]]</f>
        <v>8.3700440528634359E-2</v>
      </c>
      <c r="O24">
        <f>campaign_data[[#This Row],[Spend]]/campaign_data[[#This Row],[Leads]]</f>
        <v>19.903083700440529</v>
      </c>
      <c r="P24">
        <f>IF(campaign_data[[#This Row],[Conversions]] &gt; 0, campaign_data[[#This Row],[Spend]]/campaign_data[[#This Row],[Conversions]], 0)</f>
        <v>237.78947368421052</v>
      </c>
      <c r="Q24">
        <f>IF(campaign_data[[#This Row],[Spend]]&gt;0, (campaign_data[[#This Row],[Revenue]]-campaign_data[[#This Row],[Spend]])/campaign_data[[#This Row],[Spend]],0)</f>
        <v>-0.33554670208056664</v>
      </c>
      <c r="R24">
        <f>campaign_data[[#This Row],[Revenue]]-campaign_data[[#This Row],[Spend]]</f>
        <v>-1516</v>
      </c>
    </row>
    <row r="25" spans="1:18" x14ac:dyDescent="0.25">
      <c r="A25" t="s">
        <v>49</v>
      </c>
      <c r="B25" t="s">
        <v>22</v>
      </c>
      <c r="C25" t="s">
        <v>28</v>
      </c>
      <c r="D25" s="1">
        <v>45418</v>
      </c>
      <c r="E25" s="1">
        <v>45459</v>
      </c>
      <c r="F25">
        <v>3626</v>
      </c>
      <c r="G25">
        <v>27030</v>
      </c>
      <c r="H25">
        <v>2036</v>
      </c>
      <c r="I25">
        <v>299</v>
      </c>
      <c r="J25">
        <v>19</v>
      </c>
      <c r="K25">
        <v>5401</v>
      </c>
      <c r="L25">
        <f>campaign_data[[#This Row],[Clicks]]/campaign_data[[#This Row],[Impressions]]</f>
        <v>7.532371439141694E-2</v>
      </c>
      <c r="M25">
        <f>campaign_data[[#This Row],[Leads]]/campaign_data[[#This Row],[Clicks]]</f>
        <v>0.14685658153241651</v>
      </c>
      <c r="N25">
        <f>campaign_data[[#This Row],[Conversions]]/campaign_data[[#This Row],[Leads]]</f>
        <v>6.354515050167224E-2</v>
      </c>
      <c r="O25">
        <f>campaign_data[[#This Row],[Spend]]/campaign_data[[#This Row],[Leads]]</f>
        <v>12.127090301003344</v>
      </c>
      <c r="P25">
        <f>IF(campaign_data[[#This Row],[Conversions]] &gt; 0, campaign_data[[#This Row],[Spend]]/campaign_data[[#This Row],[Conversions]], 0)</f>
        <v>190.84210526315789</v>
      </c>
      <c r="Q25">
        <f>IF(campaign_data[[#This Row],[Spend]]&gt;0, (campaign_data[[#This Row],[Revenue]]-campaign_data[[#This Row],[Spend]])/campaign_data[[#This Row],[Spend]],0)</f>
        <v>0.48952013237727521</v>
      </c>
      <c r="R25">
        <f>campaign_data[[#This Row],[Revenue]]-campaign_data[[#This Row],[Spend]]</f>
        <v>1775</v>
      </c>
    </row>
    <row r="26" spans="1:18" x14ac:dyDescent="0.25">
      <c r="A26" t="s">
        <v>50</v>
      </c>
      <c r="B26" t="s">
        <v>19</v>
      </c>
      <c r="C26" t="s">
        <v>20</v>
      </c>
      <c r="D26" s="1">
        <v>45424</v>
      </c>
      <c r="E26" s="1">
        <v>45465</v>
      </c>
      <c r="F26">
        <v>1344</v>
      </c>
      <c r="G26">
        <v>7392</v>
      </c>
      <c r="H26">
        <v>1712</v>
      </c>
      <c r="I26">
        <v>259</v>
      </c>
      <c r="J26">
        <v>33</v>
      </c>
      <c r="K26">
        <v>14701</v>
      </c>
      <c r="L26">
        <f>campaign_data[[#This Row],[Clicks]]/campaign_data[[#This Row],[Impressions]]</f>
        <v>0.23160173160173161</v>
      </c>
      <c r="M26">
        <f>campaign_data[[#This Row],[Leads]]/campaign_data[[#This Row],[Clicks]]</f>
        <v>0.15128504672897197</v>
      </c>
      <c r="N26">
        <f>campaign_data[[#This Row],[Conversions]]/campaign_data[[#This Row],[Leads]]</f>
        <v>0.12741312741312741</v>
      </c>
      <c r="O26">
        <f>campaign_data[[#This Row],[Spend]]/campaign_data[[#This Row],[Leads]]</f>
        <v>5.1891891891891895</v>
      </c>
      <c r="P26">
        <f>IF(campaign_data[[#This Row],[Conversions]] &gt; 0, campaign_data[[#This Row],[Spend]]/campaign_data[[#This Row],[Conversions]], 0)</f>
        <v>40.727272727272727</v>
      </c>
      <c r="Q26">
        <f>IF(campaign_data[[#This Row],[Spend]]&gt;0, (campaign_data[[#This Row],[Revenue]]-campaign_data[[#This Row],[Spend]])/campaign_data[[#This Row],[Spend]],0)</f>
        <v>9.9382440476190474</v>
      </c>
      <c r="R26">
        <f>campaign_data[[#This Row],[Revenue]]-campaign_data[[#This Row],[Spend]]</f>
        <v>13357</v>
      </c>
    </row>
    <row r="27" spans="1:18" x14ac:dyDescent="0.25">
      <c r="A27" t="s">
        <v>51</v>
      </c>
      <c r="B27" t="s">
        <v>22</v>
      </c>
      <c r="C27" t="s">
        <v>23</v>
      </c>
      <c r="D27" s="1">
        <v>45429</v>
      </c>
      <c r="E27" s="1">
        <v>45456</v>
      </c>
      <c r="F27">
        <v>1525</v>
      </c>
      <c r="G27">
        <v>22780</v>
      </c>
      <c r="H27">
        <v>1754</v>
      </c>
      <c r="I27">
        <v>161</v>
      </c>
      <c r="J27">
        <v>16</v>
      </c>
      <c r="K27">
        <v>3595</v>
      </c>
      <c r="L27">
        <f>campaign_data[[#This Row],[Clicks]]/campaign_data[[#This Row],[Impressions]]</f>
        <v>7.6997366110623355E-2</v>
      </c>
      <c r="M27">
        <f>campaign_data[[#This Row],[Leads]]/campaign_data[[#This Row],[Clicks]]</f>
        <v>9.1790193842645376E-2</v>
      </c>
      <c r="N27">
        <f>campaign_data[[#This Row],[Conversions]]/campaign_data[[#This Row],[Leads]]</f>
        <v>9.9378881987577633E-2</v>
      </c>
      <c r="O27">
        <f>campaign_data[[#This Row],[Spend]]/campaign_data[[#This Row],[Leads]]</f>
        <v>9.4720496894409933</v>
      </c>
      <c r="P27">
        <f>IF(campaign_data[[#This Row],[Conversions]] &gt; 0, campaign_data[[#This Row],[Spend]]/campaign_data[[#This Row],[Conversions]], 0)</f>
        <v>95.3125</v>
      </c>
      <c r="Q27">
        <f>IF(campaign_data[[#This Row],[Spend]]&gt;0, (campaign_data[[#This Row],[Revenue]]-campaign_data[[#This Row],[Spend]])/campaign_data[[#This Row],[Spend]],0)</f>
        <v>1.3573770491803279</v>
      </c>
      <c r="R27">
        <f>campaign_data[[#This Row],[Revenue]]-campaign_data[[#This Row],[Spend]]</f>
        <v>2070</v>
      </c>
    </row>
    <row r="28" spans="1:18" x14ac:dyDescent="0.25">
      <c r="A28" t="s">
        <v>52</v>
      </c>
      <c r="B28" t="s">
        <v>25</v>
      </c>
      <c r="C28" t="s">
        <v>26</v>
      </c>
      <c r="D28" s="1">
        <v>45435</v>
      </c>
      <c r="E28" s="1">
        <v>45462</v>
      </c>
      <c r="F28">
        <v>4682</v>
      </c>
      <c r="G28">
        <v>144167</v>
      </c>
      <c r="H28">
        <v>3924</v>
      </c>
      <c r="I28">
        <v>435</v>
      </c>
      <c r="J28">
        <v>42</v>
      </c>
      <c r="K28">
        <v>9383</v>
      </c>
      <c r="L28">
        <f>campaign_data[[#This Row],[Clicks]]/campaign_data[[#This Row],[Impressions]]</f>
        <v>2.7218434177030803E-2</v>
      </c>
      <c r="M28">
        <f>campaign_data[[#This Row],[Leads]]/campaign_data[[#This Row],[Clicks]]</f>
        <v>0.11085626911314984</v>
      </c>
      <c r="N28">
        <f>campaign_data[[#This Row],[Conversions]]/campaign_data[[#This Row],[Leads]]</f>
        <v>9.6551724137931033E-2</v>
      </c>
      <c r="O28">
        <f>campaign_data[[#This Row],[Spend]]/campaign_data[[#This Row],[Leads]]</f>
        <v>10.763218390804598</v>
      </c>
      <c r="P28">
        <f>IF(campaign_data[[#This Row],[Conversions]] &gt; 0, campaign_data[[#This Row],[Spend]]/campaign_data[[#This Row],[Conversions]], 0)</f>
        <v>111.47619047619048</v>
      </c>
      <c r="Q28">
        <f>IF(campaign_data[[#This Row],[Spend]]&gt;0, (campaign_data[[#This Row],[Revenue]]-campaign_data[[#This Row],[Spend]])/campaign_data[[#This Row],[Spend]],0)</f>
        <v>1.0040580948312687</v>
      </c>
      <c r="R28">
        <f>campaign_data[[#This Row],[Revenue]]-campaign_data[[#This Row],[Spend]]</f>
        <v>4701</v>
      </c>
    </row>
    <row r="29" spans="1:18" x14ac:dyDescent="0.25">
      <c r="A29" t="s">
        <v>53</v>
      </c>
      <c r="B29" t="s">
        <v>22</v>
      </c>
      <c r="C29" t="s">
        <v>28</v>
      </c>
      <c r="D29" s="1">
        <v>45440</v>
      </c>
      <c r="E29" s="1">
        <v>45462</v>
      </c>
      <c r="F29">
        <v>1303</v>
      </c>
      <c r="G29">
        <v>51214</v>
      </c>
      <c r="H29">
        <v>3134</v>
      </c>
      <c r="I29">
        <v>449</v>
      </c>
      <c r="J29">
        <v>47</v>
      </c>
      <c r="K29">
        <v>9627</v>
      </c>
      <c r="L29">
        <f>campaign_data[[#This Row],[Clicks]]/campaign_data[[#This Row],[Impressions]]</f>
        <v>6.1194204709649702E-2</v>
      </c>
      <c r="M29">
        <f>campaign_data[[#This Row],[Leads]]/campaign_data[[#This Row],[Clicks]]</f>
        <v>0.14326738991703894</v>
      </c>
      <c r="N29">
        <f>campaign_data[[#This Row],[Conversions]]/campaign_data[[#This Row],[Leads]]</f>
        <v>0.10467706013363029</v>
      </c>
      <c r="O29">
        <f>campaign_data[[#This Row],[Spend]]/campaign_data[[#This Row],[Leads]]</f>
        <v>2.9020044543429844</v>
      </c>
      <c r="P29">
        <f>IF(campaign_data[[#This Row],[Conversions]] &gt; 0, campaign_data[[#This Row],[Spend]]/campaign_data[[#This Row],[Conversions]], 0)</f>
        <v>27.723404255319149</v>
      </c>
      <c r="Q29">
        <f>IF(campaign_data[[#This Row],[Spend]]&gt;0, (campaign_data[[#This Row],[Revenue]]-campaign_data[[#This Row],[Spend]])/campaign_data[[#This Row],[Spend]],0)</f>
        <v>6.3883346124328471</v>
      </c>
      <c r="R29">
        <f>campaign_data[[#This Row],[Revenue]]-campaign_data[[#This Row],[Spend]]</f>
        <v>8324</v>
      </c>
    </row>
    <row r="30" spans="1:18" x14ac:dyDescent="0.25">
      <c r="A30" t="s">
        <v>54</v>
      </c>
      <c r="B30" t="s">
        <v>22</v>
      </c>
      <c r="C30" t="s">
        <v>20</v>
      </c>
      <c r="D30" s="1">
        <v>45446</v>
      </c>
      <c r="E30" s="1">
        <v>45475</v>
      </c>
      <c r="F30">
        <v>3533</v>
      </c>
      <c r="G30">
        <v>37680</v>
      </c>
      <c r="H30">
        <v>3467</v>
      </c>
      <c r="I30">
        <v>406</v>
      </c>
      <c r="J30">
        <v>27</v>
      </c>
      <c r="K30">
        <v>8490</v>
      </c>
      <c r="L30">
        <f>campaign_data[[#This Row],[Clicks]]/campaign_data[[#This Row],[Impressions]]</f>
        <v>9.2011677282377913E-2</v>
      </c>
      <c r="M30">
        <f>campaign_data[[#This Row],[Leads]]/campaign_data[[#This Row],[Clicks]]</f>
        <v>0.11710412460340353</v>
      </c>
      <c r="N30">
        <f>campaign_data[[#This Row],[Conversions]]/campaign_data[[#This Row],[Leads]]</f>
        <v>6.6502463054187194E-2</v>
      </c>
      <c r="O30">
        <f>campaign_data[[#This Row],[Spend]]/campaign_data[[#This Row],[Leads]]</f>
        <v>8.7019704433497544</v>
      </c>
      <c r="P30">
        <f>IF(campaign_data[[#This Row],[Conversions]] &gt; 0, campaign_data[[#This Row],[Spend]]/campaign_data[[#This Row],[Conversions]], 0)</f>
        <v>130.85185185185185</v>
      </c>
      <c r="Q30">
        <f>IF(campaign_data[[#This Row],[Spend]]&gt;0, (campaign_data[[#This Row],[Revenue]]-campaign_data[[#This Row],[Spend]])/campaign_data[[#This Row],[Spend]],0)</f>
        <v>1.4030568921596378</v>
      </c>
      <c r="R30">
        <f>campaign_data[[#This Row],[Revenue]]-campaign_data[[#This Row],[Spend]]</f>
        <v>4957</v>
      </c>
    </row>
    <row r="31" spans="1:18" x14ac:dyDescent="0.25">
      <c r="A31" t="s">
        <v>55</v>
      </c>
      <c r="B31" t="s">
        <v>22</v>
      </c>
      <c r="C31" t="s">
        <v>23</v>
      </c>
      <c r="D31" s="1">
        <v>45451</v>
      </c>
      <c r="E31" s="1">
        <v>45472</v>
      </c>
      <c r="F31">
        <v>4852</v>
      </c>
      <c r="G31">
        <v>80692</v>
      </c>
      <c r="H31">
        <v>7248</v>
      </c>
      <c r="I31">
        <v>822</v>
      </c>
      <c r="J31">
        <v>97</v>
      </c>
      <c r="K31">
        <v>33721</v>
      </c>
      <c r="L31">
        <f>campaign_data[[#This Row],[Clicks]]/campaign_data[[#This Row],[Impressions]]</f>
        <v>8.9823030783720809E-2</v>
      </c>
      <c r="M31">
        <f>campaign_data[[#This Row],[Leads]]/campaign_data[[#This Row],[Clicks]]</f>
        <v>0.11341059602649006</v>
      </c>
      <c r="N31">
        <f>campaign_data[[#This Row],[Conversions]]/campaign_data[[#This Row],[Leads]]</f>
        <v>0.11800486618004866</v>
      </c>
      <c r="O31">
        <f>campaign_data[[#This Row],[Spend]]/campaign_data[[#This Row],[Leads]]</f>
        <v>5.9026763990267641</v>
      </c>
      <c r="P31">
        <f>IF(campaign_data[[#This Row],[Conversions]] &gt; 0, campaign_data[[#This Row],[Spend]]/campaign_data[[#This Row],[Conversions]], 0)</f>
        <v>50.020618556701031</v>
      </c>
      <c r="Q31">
        <f>IF(campaign_data[[#This Row],[Spend]]&gt;0, (campaign_data[[#This Row],[Revenue]]-campaign_data[[#This Row],[Spend]])/campaign_data[[#This Row],[Spend]],0)</f>
        <v>5.9499175597691671</v>
      </c>
      <c r="R31">
        <f>campaign_data[[#This Row],[Revenue]]-campaign_data[[#This Row],[Spend]]</f>
        <v>28869</v>
      </c>
    </row>
    <row r="32" spans="1:18" x14ac:dyDescent="0.25">
      <c r="A32" t="s">
        <v>56</v>
      </c>
      <c r="B32" t="s">
        <v>19</v>
      </c>
      <c r="C32" t="s">
        <v>26</v>
      </c>
      <c r="D32" s="1">
        <v>45457</v>
      </c>
      <c r="E32" s="1">
        <v>45477</v>
      </c>
      <c r="F32">
        <v>831</v>
      </c>
      <c r="G32">
        <v>7091</v>
      </c>
      <c r="H32">
        <v>1275</v>
      </c>
      <c r="I32">
        <v>211</v>
      </c>
      <c r="J32">
        <v>31</v>
      </c>
      <c r="K32">
        <v>14398</v>
      </c>
      <c r="L32">
        <f>campaign_data[[#This Row],[Clicks]]/campaign_data[[#This Row],[Impressions]]</f>
        <v>0.17980538711042166</v>
      </c>
      <c r="M32">
        <f>campaign_data[[#This Row],[Leads]]/campaign_data[[#This Row],[Clicks]]</f>
        <v>0.16549019607843138</v>
      </c>
      <c r="N32">
        <f>campaign_data[[#This Row],[Conversions]]/campaign_data[[#This Row],[Leads]]</f>
        <v>0.14691943127962084</v>
      </c>
      <c r="O32">
        <f>campaign_data[[#This Row],[Spend]]/campaign_data[[#This Row],[Leads]]</f>
        <v>3.9383886255924172</v>
      </c>
      <c r="P32">
        <f>IF(campaign_data[[#This Row],[Conversions]] &gt; 0, campaign_data[[#This Row],[Spend]]/campaign_data[[#This Row],[Conversions]], 0)</f>
        <v>26.806451612903224</v>
      </c>
      <c r="Q32">
        <f>IF(campaign_data[[#This Row],[Spend]]&gt;0, (campaign_data[[#This Row],[Revenue]]-campaign_data[[#This Row],[Spend]])/campaign_data[[#This Row],[Spend]],0)</f>
        <v>16.326113116726834</v>
      </c>
      <c r="R32">
        <f>campaign_data[[#This Row],[Revenue]]-campaign_data[[#This Row],[Spend]]</f>
        <v>13567</v>
      </c>
    </row>
    <row r="33" spans="1:18" x14ac:dyDescent="0.25">
      <c r="A33" t="s">
        <v>57</v>
      </c>
      <c r="B33" t="s">
        <v>22</v>
      </c>
      <c r="C33" t="s">
        <v>28</v>
      </c>
      <c r="D33" s="1">
        <v>45462</v>
      </c>
      <c r="E33" s="1">
        <v>45477</v>
      </c>
      <c r="F33">
        <v>4724</v>
      </c>
      <c r="G33">
        <v>62584</v>
      </c>
      <c r="H33">
        <v>3189</v>
      </c>
      <c r="I33">
        <v>372</v>
      </c>
      <c r="J33">
        <v>23</v>
      </c>
      <c r="K33">
        <v>11278</v>
      </c>
      <c r="L33">
        <f>campaign_data[[#This Row],[Clicks]]/campaign_data[[#This Row],[Impressions]]</f>
        <v>5.0955515786782563E-2</v>
      </c>
      <c r="M33">
        <f>campaign_data[[#This Row],[Leads]]/campaign_data[[#This Row],[Clicks]]</f>
        <v>0.11665098777046096</v>
      </c>
      <c r="N33">
        <f>campaign_data[[#This Row],[Conversions]]/campaign_data[[#This Row],[Leads]]</f>
        <v>6.1827956989247312E-2</v>
      </c>
      <c r="O33">
        <f>campaign_data[[#This Row],[Spend]]/campaign_data[[#This Row],[Leads]]</f>
        <v>12.698924731182796</v>
      </c>
      <c r="P33">
        <f>IF(campaign_data[[#This Row],[Conversions]] &gt; 0, campaign_data[[#This Row],[Spend]]/campaign_data[[#This Row],[Conversions]], 0)</f>
        <v>205.39130434782609</v>
      </c>
      <c r="Q33">
        <f>IF(campaign_data[[#This Row],[Spend]]&gt;0, (campaign_data[[#This Row],[Revenue]]-campaign_data[[#This Row],[Spend]])/campaign_data[[#This Row],[Spend]],0)</f>
        <v>1.3873835732430144</v>
      </c>
      <c r="R33">
        <f>campaign_data[[#This Row],[Revenue]]-campaign_data[[#This Row],[Spend]]</f>
        <v>6554</v>
      </c>
    </row>
    <row r="34" spans="1:18" x14ac:dyDescent="0.25">
      <c r="A34" t="s">
        <v>58</v>
      </c>
      <c r="B34" t="s">
        <v>25</v>
      </c>
      <c r="C34" t="s">
        <v>20</v>
      </c>
      <c r="D34" s="1">
        <v>45468</v>
      </c>
      <c r="E34" s="1">
        <v>45505</v>
      </c>
      <c r="F34">
        <v>9902</v>
      </c>
      <c r="G34">
        <v>135945</v>
      </c>
      <c r="H34">
        <v>6732</v>
      </c>
      <c r="I34">
        <v>821</v>
      </c>
      <c r="J34">
        <v>72</v>
      </c>
      <c r="K34">
        <v>29963</v>
      </c>
      <c r="L34">
        <f>campaign_data[[#This Row],[Clicks]]/campaign_data[[#This Row],[Impressions]]</f>
        <v>4.9520026481297587E-2</v>
      </c>
      <c r="M34">
        <f>campaign_data[[#This Row],[Leads]]/campaign_data[[#This Row],[Clicks]]</f>
        <v>0.12195484254307784</v>
      </c>
      <c r="N34">
        <f>campaign_data[[#This Row],[Conversions]]/campaign_data[[#This Row],[Leads]]</f>
        <v>8.76979293544458E-2</v>
      </c>
      <c r="O34">
        <f>campaign_data[[#This Row],[Spend]]/campaign_data[[#This Row],[Leads]]</f>
        <v>12.060901339829476</v>
      </c>
      <c r="P34">
        <f>IF(campaign_data[[#This Row],[Conversions]] &gt; 0, campaign_data[[#This Row],[Spend]]/campaign_data[[#This Row],[Conversions]], 0)</f>
        <v>137.52777777777777</v>
      </c>
      <c r="Q34">
        <f>IF(campaign_data[[#This Row],[Spend]]&gt;0, (campaign_data[[#This Row],[Revenue]]-campaign_data[[#This Row],[Spend]])/campaign_data[[#This Row],[Spend]],0)</f>
        <v>2.0259543526560293</v>
      </c>
      <c r="R34">
        <f>campaign_data[[#This Row],[Revenue]]-campaign_data[[#This Row],[Spend]]</f>
        <v>20061</v>
      </c>
    </row>
    <row r="35" spans="1:18" x14ac:dyDescent="0.25">
      <c r="A35" t="s">
        <v>59</v>
      </c>
      <c r="B35" t="s">
        <v>25</v>
      </c>
      <c r="C35" t="s">
        <v>23</v>
      </c>
      <c r="D35" s="1">
        <v>45473</v>
      </c>
      <c r="E35" s="1">
        <v>45508</v>
      </c>
      <c r="F35">
        <v>2256</v>
      </c>
      <c r="G35">
        <v>150678</v>
      </c>
      <c r="H35">
        <v>4753</v>
      </c>
      <c r="I35">
        <v>593</v>
      </c>
      <c r="J35">
        <v>46</v>
      </c>
      <c r="K35">
        <v>17780</v>
      </c>
      <c r="L35">
        <f>campaign_data[[#This Row],[Clicks]]/campaign_data[[#This Row],[Impressions]]</f>
        <v>3.1544087391656379E-2</v>
      </c>
      <c r="M35">
        <f>campaign_data[[#This Row],[Leads]]/campaign_data[[#This Row],[Clicks]]</f>
        <v>0.12476330738480959</v>
      </c>
      <c r="N35">
        <f>campaign_data[[#This Row],[Conversions]]/campaign_data[[#This Row],[Leads]]</f>
        <v>7.7571669477234401E-2</v>
      </c>
      <c r="O35">
        <f>campaign_data[[#This Row],[Spend]]/campaign_data[[#This Row],[Leads]]</f>
        <v>3.8043844856661044</v>
      </c>
      <c r="P35">
        <f>IF(campaign_data[[#This Row],[Conversions]] &gt; 0, campaign_data[[#This Row],[Spend]]/campaign_data[[#This Row],[Conversions]], 0)</f>
        <v>49.043478260869563</v>
      </c>
      <c r="Q35">
        <f>IF(campaign_data[[#This Row],[Spend]]&gt;0, (campaign_data[[#This Row],[Revenue]]-campaign_data[[#This Row],[Spend]])/campaign_data[[#This Row],[Spend]],0)</f>
        <v>6.8812056737588652</v>
      </c>
      <c r="R35">
        <f>campaign_data[[#This Row],[Revenue]]-campaign_data[[#This Row],[Spend]]</f>
        <v>15524</v>
      </c>
    </row>
    <row r="36" spans="1:18" x14ac:dyDescent="0.25">
      <c r="A36" t="s">
        <v>60</v>
      </c>
      <c r="B36" t="s">
        <v>19</v>
      </c>
      <c r="C36" t="s">
        <v>26</v>
      </c>
      <c r="D36" s="1">
        <v>45479</v>
      </c>
      <c r="E36" s="1">
        <v>45519</v>
      </c>
      <c r="F36">
        <v>1274</v>
      </c>
      <c r="G36">
        <v>12105</v>
      </c>
      <c r="H36">
        <v>1857</v>
      </c>
      <c r="I36">
        <v>268</v>
      </c>
      <c r="J36">
        <v>40</v>
      </c>
      <c r="K36">
        <v>9060</v>
      </c>
      <c r="L36">
        <f>campaign_data[[#This Row],[Clicks]]/campaign_data[[#This Row],[Impressions]]</f>
        <v>0.15340768277571251</v>
      </c>
      <c r="M36">
        <f>campaign_data[[#This Row],[Leads]]/campaign_data[[#This Row],[Clicks]]</f>
        <v>0.14431879375336565</v>
      </c>
      <c r="N36">
        <f>campaign_data[[#This Row],[Conversions]]/campaign_data[[#This Row],[Leads]]</f>
        <v>0.14925373134328357</v>
      </c>
      <c r="O36">
        <f>campaign_data[[#This Row],[Spend]]/campaign_data[[#This Row],[Leads]]</f>
        <v>4.7537313432835822</v>
      </c>
      <c r="P36">
        <f>IF(campaign_data[[#This Row],[Conversions]] &gt; 0, campaign_data[[#This Row],[Spend]]/campaign_data[[#This Row],[Conversions]], 0)</f>
        <v>31.85</v>
      </c>
      <c r="Q36">
        <f>IF(campaign_data[[#This Row],[Spend]]&gt;0, (campaign_data[[#This Row],[Revenue]]-campaign_data[[#This Row],[Spend]])/campaign_data[[#This Row],[Spend]],0)</f>
        <v>6.1114599686028255</v>
      </c>
      <c r="R36">
        <f>campaign_data[[#This Row],[Revenue]]-campaign_data[[#This Row],[Spend]]</f>
        <v>7786</v>
      </c>
    </row>
    <row r="37" spans="1:18" x14ac:dyDescent="0.25">
      <c r="A37" t="s">
        <v>61</v>
      </c>
      <c r="B37" t="s">
        <v>22</v>
      </c>
      <c r="C37" t="s">
        <v>28</v>
      </c>
      <c r="D37" s="1">
        <v>45484</v>
      </c>
      <c r="E37" s="1">
        <v>45508</v>
      </c>
      <c r="F37">
        <v>3354</v>
      </c>
      <c r="G37">
        <v>39422</v>
      </c>
      <c r="H37">
        <v>2949</v>
      </c>
      <c r="I37">
        <v>360</v>
      </c>
      <c r="J37">
        <v>37</v>
      </c>
      <c r="K37">
        <v>11793</v>
      </c>
      <c r="L37">
        <f>campaign_data[[#This Row],[Clicks]]/campaign_data[[#This Row],[Impressions]]</f>
        <v>7.4805945918522646E-2</v>
      </c>
      <c r="M37">
        <f>campaign_data[[#This Row],[Leads]]/campaign_data[[#This Row],[Clicks]]</f>
        <v>0.12207527975584945</v>
      </c>
      <c r="N37">
        <f>campaign_data[[#This Row],[Conversions]]/campaign_data[[#This Row],[Leads]]</f>
        <v>0.10277777777777777</v>
      </c>
      <c r="O37">
        <f>campaign_data[[#This Row],[Spend]]/campaign_data[[#This Row],[Leads]]</f>
        <v>9.3166666666666664</v>
      </c>
      <c r="P37">
        <f>IF(campaign_data[[#This Row],[Conversions]] &gt; 0, campaign_data[[#This Row],[Spend]]/campaign_data[[#This Row],[Conversions]], 0)</f>
        <v>90.648648648648646</v>
      </c>
      <c r="Q37">
        <f>IF(campaign_data[[#This Row],[Spend]]&gt;0, (campaign_data[[#This Row],[Revenue]]-campaign_data[[#This Row],[Spend]])/campaign_data[[#This Row],[Spend]],0)</f>
        <v>2.5161001788908766</v>
      </c>
      <c r="R37">
        <f>campaign_data[[#This Row],[Revenue]]-campaign_data[[#This Row],[Spend]]</f>
        <v>8439</v>
      </c>
    </row>
    <row r="38" spans="1:18" x14ac:dyDescent="0.25">
      <c r="A38" t="s">
        <v>62</v>
      </c>
      <c r="B38" t="s">
        <v>38</v>
      </c>
      <c r="C38" t="s">
        <v>20</v>
      </c>
      <c r="D38" s="1">
        <v>45490</v>
      </c>
      <c r="E38" s="1">
        <v>45505</v>
      </c>
      <c r="F38">
        <v>837</v>
      </c>
      <c r="G38">
        <v>3121</v>
      </c>
      <c r="H38">
        <v>804</v>
      </c>
      <c r="I38">
        <v>399</v>
      </c>
      <c r="J38">
        <v>82</v>
      </c>
      <c r="K38">
        <v>24082</v>
      </c>
      <c r="L38">
        <f>campaign_data[[#This Row],[Clicks]]/campaign_data[[#This Row],[Impressions]]</f>
        <v>0.25760974046779878</v>
      </c>
      <c r="M38">
        <f>campaign_data[[#This Row],[Leads]]/campaign_data[[#This Row],[Clicks]]</f>
        <v>0.4962686567164179</v>
      </c>
      <c r="N38">
        <f>campaign_data[[#This Row],[Conversions]]/campaign_data[[#This Row],[Leads]]</f>
        <v>0.20551378446115287</v>
      </c>
      <c r="O38">
        <f>campaign_data[[#This Row],[Spend]]/campaign_data[[#This Row],[Leads]]</f>
        <v>2.0977443609022557</v>
      </c>
      <c r="P38">
        <f>IF(campaign_data[[#This Row],[Conversions]] &gt; 0, campaign_data[[#This Row],[Spend]]/campaign_data[[#This Row],[Conversions]], 0)</f>
        <v>10.207317073170731</v>
      </c>
      <c r="Q38">
        <f>IF(campaign_data[[#This Row],[Spend]]&gt;0, (campaign_data[[#This Row],[Revenue]]-campaign_data[[#This Row],[Spend]])/campaign_data[[#This Row],[Spend]],0)</f>
        <v>27.771804062126641</v>
      </c>
      <c r="R38">
        <f>campaign_data[[#This Row],[Revenue]]-campaign_data[[#This Row],[Spend]]</f>
        <v>23245</v>
      </c>
    </row>
    <row r="39" spans="1:18" x14ac:dyDescent="0.25">
      <c r="A39" t="s">
        <v>63</v>
      </c>
      <c r="B39" t="s">
        <v>38</v>
      </c>
      <c r="C39" t="s">
        <v>23</v>
      </c>
      <c r="D39" s="1">
        <v>45495</v>
      </c>
      <c r="E39" s="1">
        <v>45517</v>
      </c>
      <c r="F39">
        <v>498</v>
      </c>
      <c r="G39">
        <v>2805</v>
      </c>
      <c r="H39">
        <v>710</v>
      </c>
      <c r="I39">
        <v>264</v>
      </c>
      <c r="J39">
        <v>70</v>
      </c>
      <c r="K39">
        <v>31041</v>
      </c>
      <c r="L39">
        <f>campaign_data[[#This Row],[Clicks]]/campaign_data[[#This Row],[Impressions]]</f>
        <v>0.25311942959001782</v>
      </c>
      <c r="M39">
        <f>campaign_data[[#This Row],[Leads]]/campaign_data[[#This Row],[Clicks]]</f>
        <v>0.37183098591549296</v>
      </c>
      <c r="N39">
        <f>campaign_data[[#This Row],[Conversions]]/campaign_data[[#This Row],[Leads]]</f>
        <v>0.26515151515151514</v>
      </c>
      <c r="O39">
        <f>campaign_data[[#This Row],[Spend]]/campaign_data[[#This Row],[Leads]]</f>
        <v>1.8863636363636365</v>
      </c>
      <c r="P39">
        <f>IF(campaign_data[[#This Row],[Conversions]] &gt; 0, campaign_data[[#This Row],[Spend]]/campaign_data[[#This Row],[Conversions]], 0)</f>
        <v>7.1142857142857139</v>
      </c>
      <c r="Q39">
        <f>IF(campaign_data[[#This Row],[Spend]]&gt;0, (campaign_data[[#This Row],[Revenue]]-campaign_data[[#This Row],[Spend]])/campaign_data[[#This Row],[Spend]],0)</f>
        <v>61.331325301204821</v>
      </c>
      <c r="R39">
        <f>campaign_data[[#This Row],[Revenue]]-campaign_data[[#This Row],[Spend]]</f>
        <v>30543</v>
      </c>
    </row>
    <row r="40" spans="1:18" x14ac:dyDescent="0.25">
      <c r="A40" t="s">
        <v>64</v>
      </c>
      <c r="B40" t="s">
        <v>25</v>
      </c>
      <c r="C40" t="s">
        <v>26</v>
      </c>
      <c r="D40" s="1">
        <v>45501</v>
      </c>
      <c r="E40" s="1">
        <v>45538</v>
      </c>
      <c r="F40">
        <v>7991</v>
      </c>
      <c r="G40">
        <v>170421</v>
      </c>
      <c r="H40">
        <v>3921</v>
      </c>
      <c r="I40">
        <v>361</v>
      </c>
      <c r="J40">
        <v>19</v>
      </c>
      <c r="K40">
        <v>7923</v>
      </c>
      <c r="L40">
        <f>campaign_data[[#This Row],[Clicks]]/campaign_data[[#This Row],[Impressions]]</f>
        <v>2.3007727920854825E-2</v>
      </c>
      <c r="M40">
        <f>campaign_data[[#This Row],[Leads]]/campaign_data[[#This Row],[Clicks]]</f>
        <v>9.2068349910737063E-2</v>
      </c>
      <c r="N40">
        <f>campaign_data[[#This Row],[Conversions]]/campaign_data[[#This Row],[Leads]]</f>
        <v>5.2631578947368418E-2</v>
      </c>
      <c r="O40">
        <f>campaign_data[[#This Row],[Spend]]/campaign_data[[#This Row],[Leads]]</f>
        <v>22.13573407202216</v>
      </c>
      <c r="P40">
        <f>IF(campaign_data[[#This Row],[Conversions]] &gt; 0, campaign_data[[#This Row],[Spend]]/campaign_data[[#This Row],[Conversions]], 0)</f>
        <v>420.57894736842104</v>
      </c>
      <c r="Q40">
        <f>IF(campaign_data[[#This Row],[Spend]]&gt;0, (campaign_data[[#This Row],[Revenue]]-campaign_data[[#This Row],[Spend]])/campaign_data[[#This Row],[Spend]],0)</f>
        <v>-8.5095732699286691E-3</v>
      </c>
      <c r="R40">
        <f>campaign_data[[#This Row],[Revenue]]-campaign_data[[#This Row],[Spend]]</f>
        <v>-68</v>
      </c>
    </row>
    <row r="41" spans="1:18" x14ac:dyDescent="0.25">
      <c r="A41" t="s">
        <v>65</v>
      </c>
      <c r="B41" t="s">
        <v>19</v>
      </c>
      <c r="C41" t="s">
        <v>28</v>
      </c>
      <c r="D41" s="1">
        <v>45506</v>
      </c>
      <c r="E41" s="1">
        <v>45549</v>
      </c>
      <c r="F41">
        <v>1306</v>
      </c>
      <c r="G41">
        <v>11854</v>
      </c>
      <c r="H41">
        <v>2366</v>
      </c>
      <c r="I41">
        <v>417</v>
      </c>
      <c r="J41">
        <v>52</v>
      </c>
      <c r="K41">
        <v>22439</v>
      </c>
      <c r="L41">
        <f>campaign_data[[#This Row],[Clicks]]/campaign_data[[#This Row],[Impressions]]</f>
        <v>0.19959507339294752</v>
      </c>
      <c r="M41">
        <f>campaign_data[[#This Row],[Leads]]/campaign_data[[#This Row],[Clicks]]</f>
        <v>0.17624683009298395</v>
      </c>
      <c r="N41">
        <f>campaign_data[[#This Row],[Conversions]]/campaign_data[[#This Row],[Leads]]</f>
        <v>0.12470023980815348</v>
      </c>
      <c r="O41">
        <f>campaign_data[[#This Row],[Spend]]/campaign_data[[#This Row],[Leads]]</f>
        <v>3.1318944844124701</v>
      </c>
      <c r="P41">
        <f>IF(campaign_data[[#This Row],[Conversions]] &gt; 0, campaign_data[[#This Row],[Spend]]/campaign_data[[#This Row],[Conversions]], 0)</f>
        <v>25.115384615384617</v>
      </c>
      <c r="Q41">
        <f>IF(campaign_data[[#This Row],[Spend]]&gt;0, (campaign_data[[#This Row],[Revenue]]-campaign_data[[#This Row],[Spend]])/campaign_data[[#This Row],[Spend]],0)</f>
        <v>16.181470137825421</v>
      </c>
      <c r="R41">
        <f>campaign_data[[#This Row],[Revenue]]-campaign_data[[#This Row],[Spend]]</f>
        <v>21133</v>
      </c>
    </row>
    <row r="42" spans="1:18" x14ac:dyDescent="0.25">
      <c r="A42" t="s">
        <v>66</v>
      </c>
      <c r="B42" t="s">
        <v>25</v>
      </c>
      <c r="C42" t="s">
        <v>20</v>
      </c>
      <c r="D42" s="1">
        <v>45512</v>
      </c>
      <c r="E42" s="1">
        <v>45529</v>
      </c>
      <c r="F42">
        <v>4119</v>
      </c>
      <c r="G42">
        <v>201052</v>
      </c>
      <c r="H42">
        <v>7909</v>
      </c>
      <c r="I42">
        <v>711</v>
      </c>
      <c r="J42">
        <v>52</v>
      </c>
      <c r="K42">
        <v>17310</v>
      </c>
      <c r="L42">
        <f>campaign_data[[#This Row],[Clicks]]/campaign_data[[#This Row],[Impressions]]</f>
        <v>3.9338081690308974E-2</v>
      </c>
      <c r="M42">
        <f>campaign_data[[#This Row],[Leads]]/campaign_data[[#This Row],[Clicks]]</f>
        <v>8.9897585029712984E-2</v>
      </c>
      <c r="N42">
        <f>campaign_data[[#This Row],[Conversions]]/campaign_data[[#This Row],[Leads]]</f>
        <v>7.3136427566807313E-2</v>
      </c>
      <c r="O42">
        <f>campaign_data[[#This Row],[Spend]]/campaign_data[[#This Row],[Leads]]</f>
        <v>5.7932489451476794</v>
      </c>
      <c r="P42">
        <f>IF(campaign_data[[#This Row],[Conversions]] &gt; 0, campaign_data[[#This Row],[Spend]]/campaign_data[[#This Row],[Conversions]], 0)</f>
        <v>79.211538461538467</v>
      </c>
      <c r="Q42">
        <f>IF(campaign_data[[#This Row],[Spend]]&gt;0, (campaign_data[[#This Row],[Revenue]]-campaign_data[[#This Row],[Spend]])/campaign_data[[#This Row],[Spend]],0)</f>
        <v>3.2024763292061178</v>
      </c>
      <c r="R42">
        <f>campaign_data[[#This Row],[Revenue]]-campaign_data[[#This Row],[Spend]]</f>
        <v>13191</v>
      </c>
    </row>
    <row r="43" spans="1:18" x14ac:dyDescent="0.25">
      <c r="A43" t="s">
        <v>67</v>
      </c>
      <c r="B43" t="s">
        <v>22</v>
      </c>
      <c r="C43" t="s">
        <v>23</v>
      </c>
      <c r="D43" s="1">
        <v>45517</v>
      </c>
      <c r="E43" s="1">
        <v>45556</v>
      </c>
      <c r="F43">
        <v>4077</v>
      </c>
      <c r="G43">
        <v>20742</v>
      </c>
      <c r="H43">
        <v>1188</v>
      </c>
      <c r="I43">
        <v>135</v>
      </c>
      <c r="J43">
        <v>17</v>
      </c>
      <c r="K43">
        <v>7567</v>
      </c>
      <c r="L43">
        <f>campaign_data[[#This Row],[Clicks]]/campaign_data[[#This Row],[Impressions]]</f>
        <v>5.7275094012149259E-2</v>
      </c>
      <c r="M43">
        <f>campaign_data[[#This Row],[Leads]]/campaign_data[[#This Row],[Clicks]]</f>
        <v>0.11363636363636363</v>
      </c>
      <c r="N43">
        <f>campaign_data[[#This Row],[Conversions]]/campaign_data[[#This Row],[Leads]]</f>
        <v>0.12592592592592591</v>
      </c>
      <c r="O43">
        <f>campaign_data[[#This Row],[Spend]]/campaign_data[[#This Row],[Leads]]</f>
        <v>30.2</v>
      </c>
      <c r="P43">
        <f>IF(campaign_data[[#This Row],[Conversions]] &gt; 0, campaign_data[[#This Row],[Spend]]/campaign_data[[#This Row],[Conversions]], 0)</f>
        <v>239.8235294117647</v>
      </c>
      <c r="Q43">
        <f>IF(campaign_data[[#This Row],[Spend]]&gt;0, (campaign_data[[#This Row],[Revenue]]-campaign_data[[#This Row],[Spend]])/campaign_data[[#This Row],[Spend]],0)</f>
        <v>0.85602158449840571</v>
      </c>
      <c r="R43">
        <f>campaign_data[[#This Row],[Revenue]]-campaign_data[[#This Row],[Spend]]</f>
        <v>3490</v>
      </c>
    </row>
    <row r="44" spans="1:18" x14ac:dyDescent="0.25">
      <c r="A44" t="s">
        <v>68</v>
      </c>
      <c r="B44" t="s">
        <v>25</v>
      </c>
      <c r="C44" t="s">
        <v>26</v>
      </c>
      <c r="D44" s="1">
        <v>45523</v>
      </c>
      <c r="E44" s="1">
        <v>45556</v>
      </c>
      <c r="F44">
        <v>9207</v>
      </c>
      <c r="G44">
        <v>221158</v>
      </c>
      <c r="H44">
        <v>6042</v>
      </c>
      <c r="I44">
        <v>654</v>
      </c>
      <c r="J44">
        <v>37</v>
      </c>
      <c r="K44">
        <v>5779</v>
      </c>
      <c r="L44">
        <f>campaign_data[[#This Row],[Clicks]]/campaign_data[[#This Row],[Impressions]]</f>
        <v>2.7319834688322376E-2</v>
      </c>
      <c r="M44">
        <f>campaign_data[[#This Row],[Leads]]/campaign_data[[#This Row],[Clicks]]</f>
        <v>0.10824230387288977</v>
      </c>
      <c r="N44">
        <f>campaign_data[[#This Row],[Conversions]]/campaign_data[[#This Row],[Leads]]</f>
        <v>5.657492354740061E-2</v>
      </c>
      <c r="O44">
        <f>campaign_data[[#This Row],[Spend]]/campaign_data[[#This Row],[Leads]]</f>
        <v>14.077981651376147</v>
      </c>
      <c r="P44">
        <f>IF(campaign_data[[#This Row],[Conversions]] &gt; 0, campaign_data[[#This Row],[Spend]]/campaign_data[[#This Row],[Conversions]], 0)</f>
        <v>248.83783783783784</v>
      </c>
      <c r="Q44">
        <f>IF(campaign_data[[#This Row],[Spend]]&gt;0, (campaign_data[[#This Row],[Revenue]]-campaign_data[[#This Row],[Spend]])/campaign_data[[#This Row],[Spend]],0)</f>
        <v>-0.37232540458346908</v>
      </c>
      <c r="R44">
        <f>campaign_data[[#This Row],[Revenue]]-campaign_data[[#This Row],[Spend]]</f>
        <v>-3428</v>
      </c>
    </row>
    <row r="45" spans="1:18" x14ac:dyDescent="0.25">
      <c r="A45" t="s">
        <v>69</v>
      </c>
      <c r="B45" t="s">
        <v>22</v>
      </c>
      <c r="C45" t="s">
        <v>28</v>
      </c>
      <c r="D45" s="1">
        <v>45528</v>
      </c>
      <c r="E45" s="1">
        <v>45565</v>
      </c>
      <c r="F45">
        <v>3540</v>
      </c>
      <c r="G45">
        <v>33306</v>
      </c>
      <c r="H45">
        <v>3029</v>
      </c>
      <c r="I45">
        <v>415</v>
      </c>
      <c r="J45">
        <v>27</v>
      </c>
      <c r="K45">
        <v>7574</v>
      </c>
      <c r="L45">
        <f>campaign_data[[#This Row],[Clicks]]/campaign_data[[#This Row],[Impressions]]</f>
        <v>9.0944574551131932E-2</v>
      </c>
      <c r="M45">
        <f>campaign_data[[#This Row],[Leads]]/campaign_data[[#This Row],[Clicks]]</f>
        <v>0.13700891383294816</v>
      </c>
      <c r="N45">
        <f>campaign_data[[#This Row],[Conversions]]/campaign_data[[#This Row],[Leads]]</f>
        <v>6.5060240963855417E-2</v>
      </c>
      <c r="O45">
        <f>campaign_data[[#This Row],[Spend]]/campaign_data[[#This Row],[Leads]]</f>
        <v>8.5301204819277103</v>
      </c>
      <c r="P45">
        <f>IF(campaign_data[[#This Row],[Conversions]] &gt; 0, campaign_data[[#This Row],[Spend]]/campaign_data[[#This Row],[Conversions]], 0)</f>
        <v>131.11111111111111</v>
      </c>
      <c r="Q45">
        <f>IF(campaign_data[[#This Row],[Spend]]&gt;0, (campaign_data[[#This Row],[Revenue]]-campaign_data[[#This Row],[Spend]])/campaign_data[[#This Row],[Spend]],0)</f>
        <v>1.1395480225988701</v>
      </c>
      <c r="R45">
        <f>campaign_data[[#This Row],[Revenue]]-campaign_data[[#This Row],[Spend]]</f>
        <v>4034</v>
      </c>
    </row>
    <row r="46" spans="1:18" x14ac:dyDescent="0.25">
      <c r="A46" t="s">
        <v>70</v>
      </c>
      <c r="B46" t="s">
        <v>19</v>
      </c>
      <c r="C46" t="s">
        <v>20</v>
      </c>
      <c r="D46" s="1">
        <v>45534</v>
      </c>
      <c r="E46" s="1">
        <v>45560</v>
      </c>
      <c r="F46">
        <v>1869</v>
      </c>
      <c r="G46">
        <v>10559</v>
      </c>
      <c r="H46">
        <v>2141</v>
      </c>
      <c r="I46">
        <v>376</v>
      </c>
      <c r="J46">
        <v>40</v>
      </c>
      <c r="K46">
        <v>7803</v>
      </c>
      <c r="L46">
        <f>campaign_data[[#This Row],[Clicks]]/campaign_data[[#This Row],[Impressions]]</f>
        <v>0.20276541339141965</v>
      </c>
      <c r="M46">
        <f>campaign_data[[#This Row],[Leads]]/campaign_data[[#This Row],[Clicks]]</f>
        <v>0.17561886968706211</v>
      </c>
      <c r="N46">
        <f>campaign_data[[#This Row],[Conversions]]/campaign_data[[#This Row],[Leads]]</f>
        <v>0.10638297872340426</v>
      </c>
      <c r="O46">
        <f>campaign_data[[#This Row],[Spend]]/campaign_data[[#This Row],[Leads]]</f>
        <v>4.9707446808510642</v>
      </c>
      <c r="P46">
        <f>IF(campaign_data[[#This Row],[Conversions]] &gt; 0, campaign_data[[#This Row],[Spend]]/campaign_data[[#This Row],[Conversions]], 0)</f>
        <v>46.725000000000001</v>
      </c>
      <c r="Q46">
        <f>IF(campaign_data[[#This Row],[Spend]]&gt;0, (campaign_data[[#This Row],[Revenue]]-campaign_data[[#This Row],[Spend]])/campaign_data[[#This Row],[Spend]],0)</f>
        <v>3.1749598715890852</v>
      </c>
      <c r="R46">
        <f>campaign_data[[#This Row],[Revenue]]-campaign_data[[#This Row],[Spend]]</f>
        <v>5934</v>
      </c>
    </row>
    <row r="47" spans="1:18" x14ac:dyDescent="0.25">
      <c r="A47" t="s">
        <v>71</v>
      </c>
      <c r="B47" t="s">
        <v>22</v>
      </c>
      <c r="C47" t="s">
        <v>23</v>
      </c>
      <c r="D47" s="1">
        <v>45539</v>
      </c>
      <c r="E47" s="1">
        <v>45572</v>
      </c>
      <c r="F47">
        <v>2458</v>
      </c>
      <c r="G47">
        <v>91127</v>
      </c>
      <c r="H47">
        <v>8975</v>
      </c>
      <c r="I47">
        <v>887</v>
      </c>
      <c r="J47">
        <v>74</v>
      </c>
      <c r="K47">
        <v>13692</v>
      </c>
      <c r="L47">
        <f>campaign_data[[#This Row],[Clicks]]/campaign_data[[#This Row],[Impressions]]</f>
        <v>9.8488922053836955E-2</v>
      </c>
      <c r="M47">
        <f>campaign_data[[#This Row],[Leads]]/campaign_data[[#This Row],[Clicks]]</f>
        <v>9.8830083565459609E-2</v>
      </c>
      <c r="N47">
        <f>campaign_data[[#This Row],[Conversions]]/campaign_data[[#This Row],[Leads]]</f>
        <v>8.3427282976324693E-2</v>
      </c>
      <c r="O47">
        <f>campaign_data[[#This Row],[Spend]]/campaign_data[[#This Row],[Leads]]</f>
        <v>2.7711386696730553</v>
      </c>
      <c r="P47">
        <f>IF(campaign_data[[#This Row],[Conversions]] &gt; 0, campaign_data[[#This Row],[Spend]]/campaign_data[[#This Row],[Conversions]], 0)</f>
        <v>33.216216216216218</v>
      </c>
      <c r="Q47">
        <f>IF(campaign_data[[#This Row],[Spend]]&gt;0, (campaign_data[[#This Row],[Revenue]]-campaign_data[[#This Row],[Spend]])/campaign_data[[#This Row],[Spend]],0)</f>
        <v>4.5703824247355573</v>
      </c>
      <c r="R47">
        <f>campaign_data[[#This Row],[Revenue]]-campaign_data[[#This Row],[Spend]]</f>
        <v>11234</v>
      </c>
    </row>
    <row r="48" spans="1:18" x14ac:dyDescent="0.25">
      <c r="A48" t="s">
        <v>72</v>
      </c>
      <c r="B48" t="s">
        <v>22</v>
      </c>
      <c r="C48" t="s">
        <v>26</v>
      </c>
      <c r="D48" s="1">
        <v>45545</v>
      </c>
      <c r="E48" s="1">
        <v>45587</v>
      </c>
      <c r="F48">
        <v>4010</v>
      </c>
      <c r="G48">
        <v>93102</v>
      </c>
      <c r="H48">
        <v>7802</v>
      </c>
      <c r="I48">
        <v>857</v>
      </c>
      <c r="J48">
        <v>95</v>
      </c>
      <c r="K48">
        <v>44495</v>
      </c>
      <c r="L48">
        <f>campaign_data[[#This Row],[Clicks]]/campaign_data[[#This Row],[Impressions]]</f>
        <v>8.3800562823569846E-2</v>
      </c>
      <c r="M48">
        <f>campaign_data[[#This Row],[Leads]]/campaign_data[[#This Row],[Clicks]]</f>
        <v>0.10984362983850295</v>
      </c>
      <c r="N48">
        <f>campaign_data[[#This Row],[Conversions]]/campaign_data[[#This Row],[Leads]]</f>
        <v>0.11085180863477247</v>
      </c>
      <c r="O48">
        <f>campaign_data[[#This Row],[Spend]]/campaign_data[[#This Row],[Leads]]</f>
        <v>4.6791131855309223</v>
      </c>
      <c r="P48">
        <f>IF(campaign_data[[#This Row],[Conversions]] &gt; 0, campaign_data[[#This Row],[Spend]]/campaign_data[[#This Row],[Conversions]], 0)</f>
        <v>42.210526315789473</v>
      </c>
      <c r="Q48">
        <f>IF(campaign_data[[#This Row],[Spend]]&gt;0, (campaign_data[[#This Row],[Revenue]]-campaign_data[[#This Row],[Spend]])/campaign_data[[#This Row],[Spend]],0)</f>
        <v>10.096009975062344</v>
      </c>
      <c r="R48">
        <f>campaign_data[[#This Row],[Revenue]]-campaign_data[[#This Row],[Spend]]</f>
        <v>40485</v>
      </c>
    </row>
    <row r="49" spans="1:18" x14ac:dyDescent="0.25">
      <c r="A49" t="s">
        <v>73</v>
      </c>
      <c r="B49" t="s">
        <v>22</v>
      </c>
      <c r="C49" t="s">
        <v>28</v>
      </c>
      <c r="D49" s="1">
        <v>45550</v>
      </c>
      <c r="E49" s="1">
        <v>45566</v>
      </c>
      <c r="F49">
        <v>4380</v>
      </c>
      <c r="G49">
        <v>60660</v>
      </c>
      <c r="H49">
        <v>3195</v>
      </c>
      <c r="I49">
        <v>388</v>
      </c>
      <c r="J49">
        <v>37</v>
      </c>
      <c r="K49">
        <v>17067</v>
      </c>
      <c r="L49">
        <f>campaign_data[[#This Row],[Clicks]]/campaign_data[[#This Row],[Impressions]]</f>
        <v>5.2670623145400594E-2</v>
      </c>
      <c r="M49">
        <f>campaign_data[[#This Row],[Leads]]/campaign_data[[#This Row],[Clicks]]</f>
        <v>0.12143974960876369</v>
      </c>
      <c r="N49">
        <f>campaign_data[[#This Row],[Conversions]]/campaign_data[[#This Row],[Leads]]</f>
        <v>9.5360824742268036E-2</v>
      </c>
      <c r="O49">
        <f>campaign_data[[#This Row],[Spend]]/campaign_data[[#This Row],[Leads]]</f>
        <v>11.288659793814434</v>
      </c>
      <c r="P49">
        <f>IF(campaign_data[[#This Row],[Conversions]] &gt; 0, campaign_data[[#This Row],[Spend]]/campaign_data[[#This Row],[Conversions]], 0)</f>
        <v>118.37837837837837</v>
      </c>
      <c r="Q49">
        <f>IF(campaign_data[[#This Row],[Spend]]&gt;0, (campaign_data[[#This Row],[Revenue]]-campaign_data[[#This Row],[Spend]])/campaign_data[[#This Row],[Spend]],0)</f>
        <v>2.8965753424657534</v>
      </c>
      <c r="R49">
        <f>campaign_data[[#This Row],[Revenue]]-campaign_data[[#This Row],[Spend]]</f>
        <v>12687</v>
      </c>
    </row>
    <row r="50" spans="1:18" x14ac:dyDescent="0.25">
      <c r="A50" t="s">
        <v>74</v>
      </c>
      <c r="B50" t="s">
        <v>19</v>
      </c>
      <c r="C50" t="s">
        <v>20</v>
      </c>
      <c r="D50" s="1">
        <v>45556</v>
      </c>
      <c r="E50" s="1">
        <v>45583</v>
      </c>
      <c r="F50">
        <v>1576</v>
      </c>
      <c r="G50">
        <v>8757</v>
      </c>
      <c r="H50">
        <v>2004</v>
      </c>
      <c r="I50">
        <v>360</v>
      </c>
      <c r="J50">
        <v>33</v>
      </c>
      <c r="K50">
        <v>15508</v>
      </c>
      <c r="L50">
        <f>campaign_data[[#This Row],[Clicks]]/campaign_data[[#This Row],[Impressions]]</f>
        <v>0.22884549503254539</v>
      </c>
      <c r="M50">
        <f>campaign_data[[#This Row],[Leads]]/campaign_data[[#This Row],[Clicks]]</f>
        <v>0.17964071856287425</v>
      </c>
      <c r="N50">
        <f>campaign_data[[#This Row],[Conversions]]/campaign_data[[#This Row],[Leads]]</f>
        <v>9.166666666666666E-2</v>
      </c>
      <c r="O50">
        <f>campaign_data[[#This Row],[Spend]]/campaign_data[[#This Row],[Leads]]</f>
        <v>4.3777777777777782</v>
      </c>
      <c r="P50">
        <f>IF(campaign_data[[#This Row],[Conversions]] &gt; 0, campaign_data[[#This Row],[Spend]]/campaign_data[[#This Row],[Conversions]], 0)</f>
        <v>47.757575757575758</v>
      </c>
      <c r="Q50">
        <f>IF(campaign_data[[#This Row],[Spend]]&gt;0, (campaign_data[[#This Row],[Revenue]]-campaign_data[[#This Row],[Spend]])/campaign_data[[#This Row],[Spend]],0)</f>
        <v>8.8401015228426392</v>
      </c>
      <c r="R50">
        <f>campaign_data[[#This Row],[Revenue]]-campaign_data[[#This Row],[Spend]]</f>
        <v>13932</v>
      </c>
    </row>
    <row r="51" spans="1:18" x14ac:dyDescent="0.25">
      <c r="A51" t="s">
        <v>75</v>
      </c>
      <c r="B51" t="s">
        <v>22</v>
      </c>
      <c r="C51" t="s">
        <v>23</v>
      </c>
      <c r="D51" s="1">
        <v>45561</v>
      </c>
      <c r="E51" s="1">
        <v>45577</v>
      </c>
      <c r="F51">
        <v>4975</v>
      </c>
      <c r="G51">
        <v>57567</v>
      </c>
      <c r="H51">
        <v>4621</v>
      </c>
      <c r="I51">
        <v>589</v>
      </c>
      <c r="J51">
        <v>37</v>
      </c>
      <c r="K51">
        <v>5558</v>
      </c>
      <c r="L51">
        <f>campaign_data[[#This Row],[Clicks]]/campaign_data[[#This Row],[Impressions]]</f>
        <v>8.0271683429742738E-2</v>
      </c>
      <c r="M51">
        <f>campaign_data[[#This Row],[Leads]]/campaign_data[[#This Row],[Clicks]]</f>
        <v>0.12746158840077906</v>
      </c>
      <c r="N51">
        <f>campaign_data[[#This Row],[Conversions]]/campaign_data[[#This Row],[Leads]]</f>
        <v>6.2818336162988112E-2</v>
      </c>
      <c r="O51">
        <f>campaign_data[[#This Row],[Spend]]/campaign_data[[#This Row],[Leads]]</f>
        <v>8.4465195246179974</v>
      </c>
      <c r="P51">
        <f>IF(campaign_data[[#This Row],[Conversions]] &gt; 0, campaign_data[[#This Row],[Spend]]/campaign_data[[#This Row],[Conversions]], 0)</f>
        <v>134.45945945945945</v>
      </c>
      <c r="Q51">
        <f>IF(campaign_data[[#This Row],[Spend]]&gt;0, (campaign_data[[#This Row],[Revenue]]-campaign_data[[#This Row],[Spend]])/campaign_data[[#This Row],[Spend]],0)</f>
        <v>0.1171859296482412</v>
      </c>
      <c r="R51">
        <f>campaign_data[[#This Row],[Revenue]]-campaign_data[[#This Row],[Spend]]</f>
        <v>583</v>
      </c>
    </row>
    <row r="52" spans="1:18" x14ac:dyDescent="0.25">
      <c r="A52" t="s">
        <v>76</v>
      </c>
      <c r="B52" t="s">
        <v>25</v>
      </c>
      <c r="C52" t="s">
        <v>26</v>
      </c>
      <c r="D52" s="1">
        <v>45567</v>
      </c>
      <c r="E52" s="1">
        <v>45608</v>
      </c>
      <c r="F52">
        <v>9574</v>
      </c>
      <c r="G52">
        <v>67939</v>
      </c>
      <c r="H52">
        <v>1649</v>
      </c>
      <c r="I52">
        <v>150</v>
      </c>
      <c r="J52">
        <v>5</v>
      </c>
      <c r="K52">
        <v>754</v>
      </c>
      <c r="L52">
        <f>campaign_data[[#This Row],[Clicks]]/campaign_data[[#This Row],[Impressions]]</f>
        <v>2.4271773208319226E-2</v>
      </c>
      <c r="M52">
        <f>campaign_data[[#This Row],[Leads]]/campaign_data[[#This Row],[Clicks]]</f>
        <v>9.0964220739842325E-2</v>
      </c>
      <c r="N52">
        <f>campaign_data[[#This Row],[Conversions]]/campaign_data[[#This Row],[Leads]]</f>
        <v>3.3333333333333333E-2</v>
      </c>
      <c r="O52">
        <f>campaign_data[[#This Row],[Spend]]/campaign_data[[#This Row],[Leads]]</f>
        <v>63.826666666666668</v>
      </c>
      <c r="P52">
        <f>IF(campaign_data[[#This Row],[Conversions]] &gt; 0, campaign_data[[#This Row],[Spend]]/campaign_data[[#This Row],[Conversions]], 0)</f>
        <v>1914.8</v>
      </c>
      <c r="Q52">
        <f>IF(campaign_data[[#This Row],[Spend]]&gt;0, (campaign_data[[#This Row],[Revenue]]-campaign_data[[#This Row],[Spend]])/campaign_data[[#This Row],[Spend]],0)</f>
        <v>-0.92124503864633378</v>
      </c>
      <c r="R52">
        <f>campaign_data[[#This Row],[Revenue]]-campaign_data[[#This Row],[Spend]]</f>
        <v>-8820</v>
      </c>
    </row>
    <row r="53" spans="1:18" x14ac:dyDescent="0.25">
      <c r="A53" t="s">
        <v>77</v>
      </c>
      <c r="B53" t="s">
        <v>22</v>
      </c>
      <c r="C53" t="s">
        <v>28</v>
      </c>
      <c r="D53" s="1">
        <v>45572</v>
      </c>
      <c r="E53" s="1">
        <v>45605</v>
      </c>
      <c r="F53">
        <v>1976</v>
      </c>
      <c r="G53">
        <v>44094</v>
      </c>
      <c r="H53">
        <v>2324</v>
      </c>
      <c r="I53">
        <v>296</v>
      </c>
      <c r="J53">
        <v>24</v>
      </c>
      <c r="K53">
        <v>8749</v>
      </c>
      <c r="L53">
        <f>campaign_data[[#This Row],[Clicks]]/campaign_data[[#This Row],[Impressions]]</f>
        <v>5.2705583526103328E-2</v>
      </c>
      <c r="M53">
        <f>campaign_data[[#This Row],[Leads]]/campaign_data[[#This Row],[Clicks]]</f>
        <v>0.12736660929432014</v>
      </c>
      <c r="N53">
        <f>campaign_data[[#This Row],[Conversions]]/campaign_data[[#This Row],[Leads]]</f>
        <v>8.1081081081081086E-2</v>
      </c>
      <c r="O53">
        <f>campaign_data[[#This Row],[Spend]]/campaign_data[[#This Row],[Leads]]</f>
        <v>6.6756756756756754</v>
      </c>
      <c r="P53">
        <f>IF(campaign_data[[#This Row],[Conversions]] &gt; 0, campaign_data[[#This Row],[Spend]]/campaign_data[[#This Row],[Conversions]], 0)</f>
        <v>82.333333333333329</v>
      </c>
      <c r="Q53">
        <f>IF(campaign_data[[#This Row],[Spend]]&gt;0, (campaign_data[[#This Row],[Revenue]]-campaign_data[[#This Row],[Spend]])/campaign_data[[#This Row],[Spend]],0)</f>
        <v>3.4276315789473686</v>
      </c>
      <c r="R53">
        <f>campaign_data[[#This Row],[Revenue]]-campaign_data[[#This Row],[Spend]]</f>
        <v>6773</v>
      </c>
    </row>
  </sheetData>
  <conditionalFormatting sqref="P1:P104857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1:Q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ED60D7-A282-4CA6-B8AA-4E0AB8EC2C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chelagattabitha6@gmail.com</dc:creator>
  <cp:lastModifiedBy>chelagattabitha6@gmail.com</cp:lastModifiedBy>
  <dcterms:created xsi:type="dcterms:W3CDTF">2025-12-29T00:34:24Z</dcterms:created>
  <dcterms:modified xsi:type="dcterms:W3CDTF">2025-12-29T00:35:00Z</dcterms:modified>
</cp:coreProperties>
</file>